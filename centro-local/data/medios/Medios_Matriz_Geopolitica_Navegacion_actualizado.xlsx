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45d6bf8c1d40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92841ca88bb4fa5"/>
    <x:sheet xmlns:r="http://schemas.openxmlformats.org/officeDocument/2006/relationships" name="Matriz profesional" sheetId="2" r:id="R1a41b432a666489b"/>
    <x:sheet xmlns:r="http://schemas.openxmlformats.org/officeDocument/2006/relationships" name="Metodología" sheetId="3" r:id="Re27ec3dacb934745"/>
    <x:sheet xmlns:r="http://schemas.openxmlformats.org/officeDocument/2006/relationships" name="Original" sheetId="4" r:id="R70a893e5b1d74a13"/>
    <x:sheet xmlns:r="http://schemas.openxmlformats.org/officeDocument/2006/relationships" name="Cobertura África" sheetId="5" r:id="R8fffe0ce2db04e48"/>
    <x:sheet xmlns:r="http://schemas.openxmlformats.org/officeDocument/2006/relationships" name="Por Región" sheetId="6" r:id="R2a891143477f4338"/>
    <x:sheet xmlns:r="http://schemas.openxmlformats.org/officeDocument/2006/relationships" name="Por Función" sheetId="7" r:id="Rb69b787360be4d26"/>
    <x:sheet xmlns:r="http://schemas.openxmlformats.org/officeDocument/2006/relationships" name="Por Perspectiva" sheetId="8" r:id="R5aaa21cd88634ab8"/>
    <x:sheet xmlns:r="http://schemas.openxmlformats.org/officeDocument/2006/relationships" name="Consulta rápida" sheetId="9" r:id="R903cef7aea4240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.0"/>
  </x:numFmts>
  <x:fonts count="2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365D"/>
      <x:name val="Carlito"/>
    </x:font>
    <x:font>
      <x:b/>
      <x:sz val="10"/>
      <x:color rgb="FFFFFFFF"/>
      <x:name val="Carlito"/>
    </x:font>
    <x:font>
      <x:sz val="9"/>
      <x:name val="Carlito"/>
    </x:font>
    <x:font>
      <x:b/>
      <x:sz val="9"/>
      <x:color rgb="FF17365D"/>
      <x:name val="Carlito"/>
    </x:font>
    <x:font>
      <x:sz val="9"/>
      <x:color rgb="FF2F75B5"/>
      <x:name val="Carlito"/>
    </x:font>
    <x:font>
      <x:sz val="8"/>
      <x:color rgb="FF2F75B5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color rgb="FF17365D"/>
      <x:name val="Carlito"/>
    </x:font>
    <x:font>
      <x:b/>
      <x:sz val="13"/>
      <x:color rgb="FFFFFFFF"/>
      <x:name val="Carlito"/>
    </x:font>
    <x:font>
      <x:b/>
      <x:sz val="12"/>
      <x:color rgb="FF17365D"/>
      <x:name val="Carlito"/>
    </x:font>
    <x:font>
      <x:sz val="10"/>
      <x:name val="Carlito"/>
    </x:font>
    <x:font>
      <x:b/>
      <x:sz val="10"/>
      <x:color rgb="FF17365D"/>
      <x:name val="Carlito"/>
    </x:font>
    <x:font>
      <x:b/>
      <x:sz val="11"/>
      <x:color rgb="FF17365D"/>
      <x:name val="Carlito"/>
    </x:font>
    <x:font>
      <x:sz val="11"/>
      <x:color rgb="FF2F75B5"/>
      <x:name val="Carlito"/>
    </x:font>
    <x:font>
      <x:b/>
      <x:sz val="9"/>
      <x:color rgb="FFFFFFFF"/>
      <x:name val="Carlito"/>
    </x:font>
    <x:font>
      <x:b/>
      <x:sz val="11"/>
      <x:color rgb="FF7F6000"/>
      <x:name val="Carlito"/>
    </x:font>
    <x:font>
      <x:b/>
      <x:sz val="10"/>
      <x:color rgb="FF000000"/>
      <x:name val="Carlito"/>
    </x:font>
    <x:font>
      <x:sz val="10"/>
      <x:color rgb="FF000000"/>
      <x:name val="Carlito"/>
    </x:font>
    <x:font>
      <x:b/>
      <x:sz val="13"/>
      <x:color rgb="FF17365D"/>
      <x:name val="Carlito"/>
    </x:font>
    <x:font>
      <x:b/>
      <x:sz val="11"/>
      <x:color rgb="FF1F6D70"/>
      <x:name val="Carlito"/>
    </x:font>
    <x:font>
      <x:sz val="10"/>
      <x:color rgb="FF7F6000"/>
      <x:name val="Carlito"/>
    </x:font>
    <x:font>
      <x:b/>
      <x:sz val="17"/>
      <x:color rgb="FFFFFFFF"/>
      <x:name val="Carlito"/>
    </x:font>
  </x:fonts>
  <x:fills count="2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1F6D70"/>
      </x:patternFill>
    </x:fill>
    <x:fill>
      <x:patternFill patternType="solid">
        <x:fgColor rgb="FFE2F0F1"/>
      </x:patternFill>
    </x:fill>
    <x:fill>
      <x:patternFill patternType="solid">
        <x:fgColor rgb="FFD6A84B"/>
      </x:patternFill>
    </x:fill>
    <x:fill>
      <x:patternFill patternType="solid">
        <x:fgColor rgb="FFFFF2CC"/>
      </x:patternFill>
    </x:fill>
    <x:fill>
      <x:patternFill patternType="solid">
        <x:fgColor rgb="FFF8FBFD"/>
      </x:patternFill>
    </x:fill>
    <x:fill>
      <x:patternFill patternType="solid">
        <x:fgColor rgb="FFC65911"/>
      </x:patternFill>
    </x:fill>
    <x:fill>
      <x:patternFill patternType="solid">
        <x:fgColor rgb="FFFCE4D6"/>
      </x:patternFill>
    </x:fill>
    <x:fill>
      <x:patternFill patternType="solid">
        <x:fgColor rgb="FF666666"/>
      </x:patternFill>
    </x:fill>
    <x:fill>
      <x:patternFill patternType="solid">
        <x:fgColor rgb="FFFFFFFF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1F6D70"/>
      </x:patternFill>
    </x:fill>
    <x:fill>
      <x:patternFill patternType="solid">
        <x:fgColor rgb="FFE2F0F1"/>
      </x:patternFill>
    </x:fill>
    <x:fill>
      <x:patternFill patternType="solid">
        <x:fgColor rgb="FFF1F6FA"/>
      </x:patternFill>
    </x:fill>
    <x:fill>
      <x:patternFill patternType="solid">
        <x:fgColor rgb="FFD6A84B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F1"/>
      </x:patternFill>
    </x:fill>
    <x:fill>
      <x:patternFill patternType="solid">
        <x:fgColor rgb="FF1F6D70"/>
      </x:patternFill>
    </x:fill>
  </x:fills>
  <x:borders count="30">
    <x:border/>
    <x:border/>
    <x:border>
      <x:left style="thin">
        <x:color rgb="FFFFFFFF"/>
      </x:left>
      <x:top style="thin">
        <x:color rgb="FFFFFFFF"/>
      </x:top>
      <x:bottom style="thin">
        <x:color rgb="FFFFFFFF"/>
      </x:bottom>
    </x:border>
    <x:border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top style="thin">
        <x:color rgb="FFFFFFFF"/>
      </x:top>
      <x:bottom style="thin">
        <x:color rgb="FFFFFFFF"/>
      </x:bottom>
    </x:border>
    <x:border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hair">
        <x:color rgb="FFD9D9D9"/>
      </x:bottom>
    </x:border>
    <x:border>
      <x:bottom style="hair">
        <x:color rgb="FFD9D9D9"/>
      </x:bottom>
    </x:border>
    <x:border>
      <x:left style="thin">
        <x:color rgb="FFB4C6E7"/>
      </x:left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  <x:border>
      <x:left style="thin">
        <x:color rgb="FFB4C6E7"/>
      </x:left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  <x:border>
      <x:bottom style="thin">
        <x:color rgb="FFD9E2F3"/>
      </x:bottom>
    </x:border>
    <x:border>
      <x:bottom style="thin">
        <x:color rgb="FFD9E2F3"/>
      </x:bottom>
    </x:border>
    <x:border>
      <x:bottom style="thin">
        <x:color rgb="FFD9D9D9"/>
      </x:bottom>
    </x:border>
    <x:border>
      <x:bottom style="thin">
        <x:color rgb="FFD9D9D9"/>
      </x:bottom>
    </x:border>
    <x:border>
      <x:top style="thin">
        <x:color rgb="FFB4C6E7"/>
      </x:top>
    </x:border>
    <x:border>
      <x:bottom style="thin">
        <x:color rgb="FFB4C6E7"/>
      </x:bottom>
    </x:border>
    <x:border>
      <x:top style="thin">
        <x:color rgb="FFB4C6E7"/>
      </x:top>
    </x:border>
    <x:border>
      <x:bottom style="thin">
        <x:color rgb="FFB4C6E7"/>
      </x:bottom>
    </x:border>
  </x:borders>
  <x:cellStyleXfs count="1">
    <x:xf numFmtId="0" fontId="0" fillId="0" borderId="0"/>
  </x:cellStyleXfs>
  <x:cellXfs count="4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8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9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0" borderId="8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4" fillId="0" borderId="9" xfId="0" applyNumberFormat="1" applyFont="1" applyFill="1" applyBorder="1" applyAlignment="1">
      <x:alignment horizontal="center"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8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0" fontId="4" fillId="0" borderId="9" xfId="0" applyNumberFormat="1" applyFont="1" applyFill="1" applyBorder="1" applyAlignment="1">
      <x:alignment vertical="top" wrapText="1"/>
    </x:xf>
    <x:xf numFmtId="201" fontId="4" fillId="0" borderId="0" xfId="0" applyNumberFormat="1" applyFont="1" applyFill="1" applyBorder="1" applyAlignment="1">
      <x:alignment horizontal="center" vertical="top" wrapText="1"/>
    </x:xf>
    <x:xf numFmtId="201" fontId="4" fillId="0" borderId="8" xfId="0" applyNumberFormat="1" applyFont="1" applyFill="1" applyBorder="1" applyAlignment="1">
      <x:alignment horizontal="center" vertical="top" wrapText="1"/>
    </x:xf>
    <x:xf numFmtId="201" fontId="4" fillId="0" borderId="1" xfId="0" applyNumberFormat="1" applyFont="1" applyFill="1" applyBorder="1" applyAlignment="1">
      <x:alignment horizontal="center" vertical="top" wrapText="1"/>
    </x:xf>
    <x:xf numFmtId="201" fontId="4" fillId="0" borderId="9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8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7" fillId="0" borderId="9" xfId="0" applyNumberFormat="1" applyFont="1" applyFill="1" applyBorder="1" applyAlignment="1">
      <x:alignment vertical="top" wrapText="1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horizontal="center"/>
    </x:xf>
    <x:xf numFmtId="0" fontId="8" fillId="3" borderId="1" xfId="0" applyNumberFormat="1" applyFont="1" applyFill="1" applyBorder="1"/>
    <x:xf numFmtId="0" fontId="8" fillId="3" borderId="1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horizontal="center"/>
    </x:xf>
    <x:xf numFmtId="0" fontId="9" fillId="4" borderId="1" xfId="0" applyNumberFormat="1" applyFont="1" applyFill="1" applyBorder="1"/>
    <x:xf numFmtId="0" fontId="9" fillId="4" borderId="1" xfId="0" applyNumberFormat="1" applyFont="1" applyFill="1" applyBorder="1" applyAlignment="1">
      <x:alignment horizontal="center"/>
    </x:xf>
    <x:xf numFmtId="0" fontId="10" fillId="3" borderId="0" xfId="0" applyNumberFormat="1" applyFont="1" applyFill="1" applyBorder="1"/>
    <x:xf numFmtId="0" fontId="10" fillId="3" borderId="1" xfId="0" applyNumberFormat="1" applyFont="1" applyFill="1" applyBorder="1"/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horizontal="center"/>
    </x:xf>
    <x:xf numFmtId="0" fontId="11" fillId="0" borderId="1" xfId="0" applyNumberFormat="1" applyFont="1" applyFill="1" applyBorder="1"/>
    <x:xf numFmtId="0" fontId="11" fillId="0" borderId="1" xfId="0" applyNumberFormat="1" applyFont="1" applyFill="1" applyBorder="1" applyAlignment="1">
      <x:alignment horizontal="center"/>
    </x:xf>
    <x:xf numFmtId="0" fontId="9" fillId="4" borderId="10" xfId="0" applyNumberFormat="1" applyFont="1" applyFill="1" applyBorder="1" applyAlignment="1">
      <x:alignment horizontal="center"/>
    </x:xf>
    <x:xf numFmtId="0" fontId="9" fillId="4" borderId="11" xfId="0" applyNumberFormat="1" applyFont="1" applyFill="1" applyBorder="1" applyAlignment="1">
      <x:alignment horizontal="center"/>
    </x:xf>
    <x:xf numFmtId="0" fontId="10" fillId="3" borderId="12" xfId="0" applyNumberFormat="1" applyFont="1" applyFill="1" applyBorder="1"/>
    <x:xf numFmtId="0" fontId="11" fillId="0" borderId="13" xfId="0" applyNumberFormat="1" applyFont="1" applyFill="1" applyBorder="1" applyAlignment="1">
      <x:alignment horizontal="center"/>
    </x:xf>
    <x:xf numFmtId="0" fontId="10" fillId="3" borderId="14" xfId="0" applyNumberFormat="1" applyFont="1" applyFill="1" applyBorder="1"/>
    <x:xf numFmtId="0" fontId="11" fillId="0" borderId="15" xfId="0" applyNumberFormat="1" applyFont="1" applyFill="1" applyBorder="1" applyAlignment="1">
      <x:alignment horizontal="center"/>
    </x:xf>
    <x:xf numFmtId="0" fontId="9" fillId="4" borderId="16" xfId="0" applyNumberFormat="1" applyFont="1" applyFill="1" applyBorder="1" applyAlignment="1">
      <x:alignment horizontal="center"/>
    </x:xf>
    <x:xf numFmtId="0" fontId="9" fillId="4" borderId="17" xfId="0" applyNumberFormat="1" applyFont="1" applyFill="1" applyBorder="1" applyAlignment="1">
      <x:alignment horizontal="center"/>
    </x:xf>
    <x:xf numFmtId="0" fontId="10" fillId="3" borderId="18" xfId="0" applyNumberFormat="1" applyFont="1" applyFill="1" applyBorder="1"/>
    <x:xf numFmtId="0" fontId="11" fillId="0" borderId="19" xfId="0" applyNumberFormat="1" applyFont="1" applyFill="1" applyBorder="1" applyAlignment="1">
      <x:alignment horizontal="center"/>
    </x:xf>
    <x:xf numFmtId="0" fontId="10" fillId="3" borderId="20" xfId="0" applyNumberFormat="1" applyFont="1" applyFill="1" applyBorder="1"/>
    <x:xf numFmtId="0" fontId="11" fillId="0" borderId="2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9" fillId="5" borderId="1" xfId="0" applyNumberFormat="1" applyFont="1" applyFill="1" applyBorder="1"/>
    <x:xf numFmtId="0" fontId="9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0" fillId="6" borderId="1" xfId="0" applyNumberFormat="1" applyFont="1" applyFill="1" applyBorder="1"/>
    <x:xf numFmtId="0" fontId="10" fillId="6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9" fillId="7" borderId="1" xfId="0" applyNumberFormat="1" applyFont="1" applyFill="1" applyBorder="1"/>
    <x:xf numFmtId="0" fontId="9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0" fillId="8" borderId="1" xfId="0" applyNumberFormat="1" applyFont="1" applyFill="1" applyBorder="1"/>
    <x:xf numFmtId="0" fontId="10" fillId="8" borderId="1" xfId="0" applyNumberFormat="1" applyFont="1" applyFill="1" applyBorder="1"/>
    <x:xf numFmtId="0" fontId="12" fillId="2" borderId="0" xfId="0" applyNumberFormat="1" applyFont="1" applyFill="1" applyBorder="1"/>
    <x:xf numFmtId="0" fontId="12" fillId="2" borderId="0" xfId="0" applyNumberFormat="1" applyFont="1" applyFill="1" applyBorder="1" applyAlignment="1">
      <x:alignment horizontal="center"/>
    </x:xf>
    <x:xf numFmtId="0" fontId="12" fillId="2" borderId="1" xfId="0" applyNumberFormat="1" applyFont="1" applyFill="1" applyBorder="1"/>
    <x:xf numFmtId="0" fontId="12" fillId="2" borderId="1" xfId="0" applyNumberFormat="1" applyFont="1" applyFill="1" applyBorder="1" applyAlignment="1">
      <x:alignment horizontal="center"/>
    </x:xf>
    <x:xf numFmtId="0" fontId="13" fillId="3" borderId="0" xfId="0" applyNumberFormat="1" applyFont="1" applyFill="1" applyBorder="1"/>
    <x:xf numFmtId="0" fontId="13" fillId="3" borderId="0" xfId="0" applyNumberFormat="1" applyFont="1" applyFill="1" applyBorder="1" applyAlignment="1">
      <x:alignment horizontal="center"/>
    </x:xf>
    <x:xf numFmtId="0" fontId="13" fillId="3" borderId="0" xfId="0" applyNumberFormat="1" applyFont="1" applyFill="1" applyBorder="1" applyAlignment="1">
      <x:alignment horizontal="center" vertical="center"/>
    </x:xf>
    <x:xf numFmtId="0" fontId="13" fillId="3" borderId="1" xfId="0" applyNumberFormat="1" applyFont="1" applyFill="1" applyBorder="1"/>
    <x:xf numFmtId="0" fontId="13" fillId="3" borderId="1" xfId="0" applyNumberFormat="1" applyFont="1" applyFill="1" applyBorder="1" applyAlignment="1">
      <x:alignment horizontal="center"/>
    </x:xf>
    <x:xf numFmtId="0" fontId="13" fillId="3" borderId="1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4" fillId="9" borderId="0" xfId="0" applyNumberFormat="1" applyFont="1" applyFill="1" applyBorder="1"/>
    <x:xf numFmtId="0" fontId="14" fillId="9" borderId="22" xfId="0" applyNumberFormat="1" applyFont="1" applyFill="1" applyBorder="1"/>
    <x:xf numFmtId="0" fontId="14" fillId="9" borderId="0" xfId="0" applyNumberFormat="1" applyFont="1" applyFill="1" applyBorder="1" applyAlignment="1">
      <x:alignment wrapText="1"/>
    </x:xf>
    <x:xf numFmtId="0" fontId="14" fillId="9" borderId="22" xfId="0" applyNumberFormat="1" applyFont="1" applyFill="1" applyBorder="1" applyAlignment="1">
      <x:alignment wrapText="1"/>
    </x:xf>
    <x:xf numFmtId="0" fontId="14" fillId="9" borderId="0" xfId="0" applyNumberFormat="1" applyFont="1" applyFill="1" applyBorder="1" applyAlignment="1">
      <x:alignment vertical="center" wrapText="1"/>
    </x:xf>
    <x:xf numFmtId="0" fontId="14" fillId="9" borderId="22" xfId="0" applyNumberFormat="1" applyFont="1" applyFill="1" applyBorder="1" applyAlignment="1">
      <x:alignment vertical="center" wrapText="1"/>
    </x:xf>
    <x:xf numFmtId="0" fontId="0" fillId="9" borderId="1" xfId="0" applyNumberFormat="1" applyFont="1" applyFill="1" applyBorder="1"/>
    <x:xf numFmtId="0" fontId="14" fillId="9" borderId="1" xfId="0" applyNumberFormat="1" applyFont="1" applyFill="1" applyBorder="1"/>
    <x:xf numFmtId="0" fontId="14" fillId="9" borderId="23" xfId="0" applyNumberFormat="1" applyFont="1" applyFill="1" applyBorder="1"/>
    <x:xf numFmtId="0" fontId="14" fillId="9" borderId="1" xfId="0" applyNumberFormat="1" applyFont="1" applyFill="1" applyBorder="1" applyAlignment="1">
      <x:alignment wrapText="1"/>
    </x:xf>
    <x:xf numFmtId="0" fontId="14" fillId="9" borderId="23" xfId="0" applyNumberFormat="1" applyFont="1" applyFill="1" applyBorder="1" applyAlignment="1">
      <x:alignment wrapText="1"/>
    </x:xf>
    <x:xf numFmtId="0" fontId="14" fillId="9" borderId="1" xfId="0" applyNumberFormat="1" applyFont="1" applyFill="1" applyBorder="1" applyAlignment="1">
      <x:alignment vertical="center" wrapText="1"/>
    </x:xf>
    <x:xf numFmtId="0" fontId="14" fillId="9" borderId="23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horizontal="center" wrapText="1"/>
    </x:xf>
    <x:xf numFmtId="0" fontId="8" fillId="3" borderId="1" xfId="0" applyNumberFormat="1" applyFont="1" applyFill="1" applyBorder="1" applyAlignment="1">
      <x:alignment wrapText="1"/>
    </x:xf>
    <x:xf numFmtId="0" fontId="8" fillId="3" borderId="1" xfId="0" applyNumberFormat="1" applyFont="1" applyFill="1" applyBorder="1" applyAlignment="1">
      <x:alignment horizontal="center" wrapText="1"/>
    </x:xf>
    <x:xf numFmtId="0" fontId="14" fillId="0" borderId="0" xfId="0" applyNumberFormat="1" applyFont="1" applyFill="1" applyBorder="1"/>
    <x:xf numFmtId="0" fontId="14" fillId="0" borderId="24" xfId="0" applyNumberFormat="1" applyFont="1" applyFill="1" applyBorder="1"/>
    <x:xf numFmtId="0" fontId="14" fillId="0" borderId="0" xfId="0" applyNumberFormat="1" applyFont="1" applyFill="1" applyBorder="1" applyAlignment="1">
      <x:alignment wrapText="1"/>
    </x:xf>
    <x:xf numFmtId="0" fontId="14" fillId="0" borderId="24" xfId="0" applyNumberFormat="1" applyFont="1" applyFill="1" applyBorder="1" applyAlignment="1">
      <x:alignment wrapText="1"/>
    </x:xf>
    <x:xf numFmtId="0" fontId="14" fillId="0" borderId="0" xfId="0" applyNumberFormat="1" applyFont="1" applyFill="1" applyBorder="1" applyAlignment="1">
      <x:alignment vertical="top" wrapText="1"/>
    </x:xf>
    <x:xf numFmtId="0" fontId="14" fillId="0" borderId="24" xfId="0" applyNumberFormat="1" applyFont="1" applyFill="1" applyBorder="1" applyAlignment="1">
      <x:alignment vertical="top" wrapText="1"/>
    </x:xf>
    <x:xf numFmtId="0" fontId="14" fillId="0" borderId="1" xfId="0" applyNumberFormat="1" applyFont="1" applyFill="1" applyBorder="1"/>
    <x:xf numFmtId="0" fontId="14" fillId="0" borderId="25" xfId="0" applyNumberFormat="1" applyFont="1" applyFill="1" applyBorder="1"/>
    <x:xf numFmtId="0" fontId="14" fillId="0" borderId="1" xfId="0" applyNumberFormat="1" applyFont="1" applyFill="1" applyBorder="1" applyAlignment="1">
      <x:alignment wrapText="1"/>
    </x:xf>
    <x:xf numFmtId="0" fontId="14" fillId="0" borderId="25" xfId="0" applyNumberFormat="1" applyFont="1" applyFill="1" applyBorder="1" applyAlignment="1">
      <x:alignment wrapText="1"/>
    </x:xf>
    <x:xf numFmtId="0" fontId="14" fillId="0" borderId="1" xfId="0" applyNumberFormat="1" applyFont="1" applyFill="1" applyBorder="1" applyAlignment="1">
      <x:alignment vertical="top" wrapText="1"/>
    </x:xf>
    <x:xf numFmtId="0" fontId="14" fillId="0" borderId="25" xfId="0" applyNumberFormat="1" applyFont="1" applyFill="1" applyBorder="1" applyAlignment="1">
      <x:alignment vertical="top" wrapText="1"/>
    </x:xf>
    <x:xf numFmtId="0" fontId="14" fillId="3" borderId="0" xfId="0" applyNumberFormat="1" applyFont="1" applyFill="1" applyBorder="1" applyAlignment="1">
      <x:alignment vertical="top" wrapText="1"/>
    </x:xf>
    <x:xf numFmtId="0" fontId="14" fillId="3" borderId="24" xfId="0" applyNumberFormat="1" applyFont="1" applyFill="1" applyBorder="1" applyAlignment="1">
      <x:alignment vertical="top" wrapText="1"/>
    </x:xf>
    <x:xf numFmtId="0" fontId="15" fillId="3" borderId="0" xfId="0" applyNumberFormat="1" applyFont="1" applyFill="1" applyBorder="1" applyAlignment="1">
      <x:alignment vertical="top" wrapText="1"/>
    </x:xf>
    <x:xf numFmtId="0" fontId="15" fillId="3" borderId="24" xfId="0" applyNumberFormat="1" applyFont="1" applyFill="1" applyBorder="1" applyAlignment="1">
      <x:alignment vertical="top" wrapText="1"/>
    </x:xf>
    <x:xf numFmtId="0" fontId="14" fillId="3" borderId="1" xfId="0" applyNumberFormat="1" applyFont="1" applyFill="1" applyBorder="1" applyAlignment="1">
      <x:alignment vertical="top" wrapText="1"/>
    </x:xf>
    <x:xf numFmtId="0" fontId="14" fillId="3" borderId="25" xfId="0" applyNumberFormat="1" applyFont="1" applyFill="1" applyBorder="1" applyAlignment="1">
      <x:alignment vertical="top" wrapText="1"/>
    </x:xf>
    <x:xf numFmtId="0" fontId="15" fillId="3" borderId="1" xfId="0" applyNumberFormat="1" applyFont="1" applyFill="1" applyBorder="1" applyAlignment="1">
      <x:alignment vertical="top" wrapText="1"/>
    </x:xf>
    <x:xf numFmtId="0" fontId="15" fillId="3" borderId="2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0" borderId="24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8" borderId="24" xfId="0" applyNumberFormat="1" applyFont="1" applyFill="1" applyBorder="1" applyAlignment="1">
      <x:alignment vertical="top" wrapText="1"/>
    </x:xf>
    <x:xf numFmtId="0" fontId="10" fillId="8" borderId="0" xfId="0" applyNumberFormat="1" applyFont="1" applyFill="1" applyBorder="1" applyAlignment="1">
      <x:alignment vertical="top" wrapText="1"/>
    </x:xf>
    <x:xf numFmtId="0" fontId="10" fillId="8" borderId="24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0" fillId="8" borderId="25" xfId="0" applyNumberFormat="1" applyFont="1" applyFill="1" applyBorder="1" applyAlignment="1">
      <x:alignment vertical="top" wrapText="1"/>
    </x:xf>
    <x:xf numFmtId="0" fontId="10" fillId="8" borderId="1" xfId="0" applyNumberFormat="1" applyFont="1" applyFill="1" applyBorder="1" applyAlignment="1">
      <x:alignment vertical="top" wrapText="1"/>
    </x:xf>
    <x:xf numFmtId="0" fontId="10" fillId="8" borderId="25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horizontal="center"/>
    </x:xf>
    <x:xf numFmtId="0" fontId="0" fillId="10" borderId="1" xfId="0" applyNumberFormat="1" applyFont="1" applyFill="1" applyBorder="1"/>
    <x:xf numFmtId="0" fontId="9" fillId="10" borderId="1" xfId="0" applyNumberFormat="1" applyFont="1" applyFill="1" applyBorder="1"/>
    <x:xf numFmtId="0" fontId="9" fillId="10" borderId="1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 applyAlignment="1">
      <x:alignment vertical="top" wrapText="1"/>
    </x:xf>
    <x:xf numFmtId="0" fontId="0" fillId="11" borderId="24" xfId="0" applyNumberFormat="1" applyFont="1" applyFill="1" applyBorder="1" applyAlignment="1">
      <x:alignment vertical="top" wrapText="1"/>
    </x:xf>
    <x:xf numFmtId="0" fontId="10" fillId="11" borderId="0" xfId="0" applyNumberFormat="1" applyFont="1" applyFill="1" applyBorder="1" applyAlignment="1">
      <x:alignment vertical="top" wrapText="1"/>
    </x:xf>
    <x:xf numFmtId="0" fontId="10" fillId="11" borderId="24" xfId="0" applyNumberFormat="1" applyFont="1" applyFill="1" applyBorder="1" applyAlignment="1">
      <x:alignment vertical="top" wrapText="1"/>
    </x:xf>
    <x:xf numFmtId="0" fontId="0" fillId="11" borderId="1" xfId="0" applyNumberFormat="1" applyFont="1" applyFill="1" applyBorder="1" applyAlignment="1">
      <x:alignment vertical="top" wrapText="1"/>
    </x:xf>
    <x:xf numFmtId="0" fontId="0" fillId="11" borderId="25" xfId="0" applyNumberFormat="1" applyFont="1" applyFill="1" applyBorder="1" applyAlignment="1">
      <x:alignment vertical="top" wrapText="1"/>
    </x:xf>
    <x:xf numFmtId="0" fontId="10" fillId="11" borderId="1" xfId="0" applyNumberFormat="1" applyFont="1" applyFill="1" applyBorder="1" applyAlignment="1">
      <x:alignment vertical="top" wrapText="1"/>
    </x:xf>
    <x:xf numFmtId="0" fontId="10" fillId="11" borderId="25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9" fillId="2" borderId="1" xfId="0" applyNumberFormat="1" applyFont="1" applyFill="1" applyBorder="1"/>
    <x:xf numFmtId="0" fontId="9" fillId="2" borderId="1" xfId="0" applyNumberFormat="1" applyFont="1" applyFill="1" applyBorder="1" applyAlignment="1">
      <x:alignment horizontal="center"/>
    </x:xf>
    <x:xf numFmtId="0" fontId="16" fillId="3" borderId="0" xfId="0" applyNumberFormat="1" applyFont="1" applyFill="1" applyBorder="1"/>
    <x:xf numFmtId="0" fontId="16" fillId="3" borderId="1" xfId="0" applyNumberFormat="1" applyFont="1" applyFill="1" applyBorder="1"/>
    <x:xf numFmtId="0" fontId="17" fillId="0" borderId="0" xfId="0" applyNumberFormat="1" applyFont="1" applyFill="1" applyBorder="1"/>
    <x:xf numFmtId="0" fontId="17" fillId="0" borderId="1" xfId="0" applyNumberFormat="1" applyFont="1" applyFill="1" applyBorder="1"/>
    <x:xf numFmtId="0" fontId="16" fillId="3" borderId="24" xfId="0" applyNumberFormat="1" applyFont="1" applyFill="1" applyBorder="1"/>
    <x:xf numFmtId="0" fontId="17" fillId="0" borderId="24" xfId="0" applyNumberFormat="1" applyFont="1" applyFill="1" applyBorder="1"/>
    <x:xf numFmtId="0" fontId="16" fillId="3" borderId="25" xfId="0" applyNumberFormat="1" applyFont="1" applyFill="1" applyBorder="1"/>
    <x:xf numFmtId="0" fontId="17" fillId="0" borderId="25" xfId="0" applyNumberFormat="1" applyFont="1" applyFill="1" applyBorder="1"/>
    <x:xf numFmtId="0" fontId="14" fillId="9" borderId="10" xfId="0" applyNumberFormat="1" applyFont="1" applyFill="1" applyBorder="1"/>
    <x:xf numFmtId="0" fontId="14" fillId="9" borderId="26" xfId="0" applyNumberFormat="1" applyFont="1" applyFill="1" applyBorder="1"/>
    <x:xf numFmtId="0" fontId="14" fillId="9" borderId="11" xfId="0" applyNumberFormat="1" applyFont="1" applyFill="1" applyBorder="1"/>
    <x:xf numFmtId="0" fontId="14" fillId="9" borderId="12" xfId="0" applyNumberFormat="1" applyFont="1" applyFill="1" applyBorder="1"/>
    <x:xf numFmtId="0" fontId="14" fillId="9" borderId="13" xfId="0" applyNumberFormat="1" applyFont="1" applyFill="1" applyBorder="1"/>
    <x:xf numFmtId="0" fontId="14" fillId="9" borderId="14" xfId="0" applyNumberFormat="1" applyFont="1" applyFill="1" applyBorder="1"/>
    <x:xf numFmtId="0" fontId="14" fillId="9" borderId="27" xfId="0" applyNumberFormat="1" applyFont="1" applyFill="1" applyBorder="1"/>
    <x:xf numFmtId="0" fontId="14" fillId="9" borderId="15" xfId="0" applyNumberFormat="1" applyFont="1" applyFill="1" applyBorder="1"/>
    <x:xf numFmtId="0" fontId="14" fillId="9" borderId="10" xfId="0" applyNumberFormat="1" applyFont="1" applyFill="1" applyBorder="1" applyAlignment="1">
      <x:alignment wrapText="1"/>
    </x:xf>
    <x:xf numFmtId="0" fontId="14" fillId="9" borderId="26" xfId="0" applyNumberFormat="1" applyFont="1" applyFill="1" applyBorder="1" applyAlignment="1">
      <x:alignment wrapText="1"/>
    </x:xf>
    <x:xf numFmtId="0" fontId="14" fillId="9" borderId="11" xfId="0" applyNumberFormat="1" applyFont="1" applyFill="1" applyBorder="1" applyAlignment="1">
      <x:alignment wrapText="1"/>
    </x:xf>
    <x:xf numFmtId="0" fontId="14" fillId="9" borderId="12" xfId="0" applyNumberFormat="1" applyFont="1" applyFill="1" applyBorder="1" applyAlignment="1">
      <x:alignment wrapText="1"/>
    </x:xf>
    <x:xf numFmtId="0" fontId="14" fillId="9" borderId="13" xfId="0" applyNumberFormat="1" applyFont="1" applyFill="1" applyBorder="1" applyAlignment="1">
      <x:alignment wrapText="1"/>
    </x:xf>
    <x:xf numFmtId="0" fontId="14" fillId="9" borderId="14" xfId="0" applyNumberFormat="1" applyFont="1" applyFill="1" applyBorder="1" applyAlignment="1">
      <x:alignment wrapText="1"/>
    </x:xf>
    <x:xf numFmtId="0" fontId="14" fillId="9" borderId="27" xfId="0" applyNumberFormat="1" applyFont="1" applyFill="1" applyBorder="1" applyAlignment="1">
      <x:alignment wrapText="1"/>
    </x:xf>
    <x:xf numFmtId="0" fontId="14" fillId="9" borderId="15" xfId="0" applyNumberFormat="1" applyFont="1" applyFill="1" applyBorder="1" applyAlignment="1">
      <x:alignment wrapText="1"/>
    </x:xf>
    <x:xf numFmtId="0" fontId="14" fillId="9" borderId="10" xfId="0" applyNumberFormat="1" applyFont="1" applyFill="1" applyBorder="1" applyAlignment="1">
      <x:alignment vertical="top" wrapText="1"/>
    </x:xf>
    <x:xf numFmtId="0" fontId="14" fillId="9" borderId="26" xfId="0" applyNumberFormat="1" applyFont="1" applyFill="1" applyBorder="1" applyAlignment="1">
      <x:alignment vertical="top" wrapText="1"/>
    </x:xf>
    <x:xf numFmtId="0" fontId="14" fillId="9" borderId="11" xfId="0" applyNumberFormat="1" applyFont="1" applyFill="1" applyBorder="1" applyAlignment="1">
      <x:alignment vertical="top" wrapText="1"/>
    </x:xf>
    <x:xf numFmtId="0" fontId="14" fillId="9" borderId="12" xfId="0" applyNumberFormat="1" applyFont="1" applyFill="1" applyBorder="1" applyAlignment="1">
      <x:alignment vertical="top" wrapText="1"/>
    </x:xf>
    <x:xf numFmtId="0" fontId="14" fillId="9" borderId="0" xfId="0" applyNumberFormat="1" applyFont="1" applyFill="1" applyBorder="1" applyAlignment="1">
      <x:alignment vertical="top" wrapText="1"/>
    </x:xf>
    <x:xf numFmtId="0" fontId="14" fillId="9" borderId="13" xfId="0" applyNumberFormat="1" applyFont="1" applyFill="1" applyBorder="1" applyAlignment="1">
      <x:alignment vertical="top" wrapText="1"/>
    </x:xf>
    <x:xf numFmtId="0" fontId="14" fillId="9" borderId="14" xfId="0" applyNumberFormat="1" applyFont="1" applyFill="1" applyBorder="1" applyAlignment="1">
      <x:alignment vertical="top" wrapText="1"/>
    </x:xf>
    <x:xf numFmtId="0" fontId="14" fillId="9" borderId="27" xfId="0" applyNumberFormat="1" applyFont="1" applyFill="1" applyBorder="1" applyAlignment="1">
      <x:alignment vertical="top" wrapText="1"/>
    </x:xf>
    <x:xf numFmtId="0" fontId="14" fillId="9" borderId="15" xfId="0" applyNumberFormat="1" applyFont="1" applyFill="1" applyBorder="1" applyAlignment="1">
      <x:alignment vertical="top" wrapText="1"/>
    </x:xf>
    <x:xf numFmtId="0" fontId="14" fillId="9" borderId="16" xfId="0" applyNumberFormat="1" applyFont="1" applyFill="1" applyBorder="1"/>
    <x:xf numFmtId="0" fontId="14" fillId="9" borderId="28" xfId="0" applyNumberFormat="1" applyFont="1" applyFill="1" applyBorder="1"/>
    <x:xf numFmtId="0" fontId="14" fillId="9" borderId="17" xfId="0" applyNumberFormat="1" applyFont="1" applyFill="1" applyBorder="1"/>
    <x:xf numFmtId="0" fontId="14" fillId="9" borderId="18" xfId="0" applyNumberFormat="1" applyFont="1" applyFill="1" applyBorder="1"/>
    <x:xf numFmtId="0" fontId="14" fillId="9" borderId="19" xfId="0" applyNumberFormat="1" applyFont="1" applyFill="1" applyBorder="1"/>
    <x:xf numFmtId="0" fontId="14" fillId="9" borderId="20" xfId="0" applyNumberFormat="1" applyFont="1" applyFill="1" applyBorder="1"/>
    <x:xf numFmtId="0" fontId="14" fillId="9" borderId="29" xfId="0" applyNumberFormat="1" applyFont="1" applyFill="1" applyBorder="1"/>
    <x:xf numFmtId="0" fontId="14" fillId="9" borderId="21" xfId="0" applyNumberFormat="1" applyFont="1" applyFill="1" applyBorder="1"/>
    <x:xf numFmtId="0" fontId="14" fillId="9" borderId="16" xfId="0" applyNumberFormat="1" applyFont="1" applyFill="1" applyBorder="1" applyAlignment="1">
      <x:alignment wrapText="1"/>
    </x:xf>
    <x:xf numFmtId="0" fontId="14" fillId="9" borderId="28" xfId="0" applyNumberFormat="1" applyFont="1" applyFill="1" applyBorder="1" applyAlignment="1">
      <x:alignment wrapText="1"/>
    </x:xf>
    <x:xf numFmtId="0" fontId="14" fillId="9" borderId="17" xfId="0" applyNumberFormat="1" applyFont="1" applyFill="1" applyBorder="1" applyAlignment="1">
      <x:alignment wrapText="1"/>
    </x:xf>
    <x:xf numFmtId="0" fontId="14" fillId="9" borderId="18" xfId="0" applyNumberFormat="1" applyFont="1" applyFill="1" applyBorder="1" applyAlignment="1">
      <x:alignment wrapText="1"/>
    </x:xf>
    <x:xf numFmtId="0" fontId="14" fillId="9" borderId="19" xfId="0" applyNumberFormat="1" applyFont="1" applyFill="1" applyBorder="1" applyAlignment="1">
      <x:alignment wrapText="1"/>
    </x:xf>
    <x:xf numFmtId="0" fontId="14" fillId="9" borderId="20" xfId="0" applyNumberFormat="1" applyFont="1" applyFill="1" applyBorder="1" applyAlignment="1">
      <x:alignment wrapText="1"/>
    </x:xf>
    <x:xf numFmtId="0" fontId="14" fillId="9" borderId="29" xfId="0" applyNumberFormat="1" applyFont="1" applyFill="1" applyBorder="1" applyAlignment="1">
      <x:alignment wrapText="1"/>
    </x:xf>
    <x:xf numFmtId="0" fontId="14" fillId="9" borderId="21" xfId="0" applyNumberFormat="1" applyFont="1" applyFill="1" applyBorder="1" applyAlignment="1">
      <x:alignment wrapText="1"/>
    </x:xf>
    <x:xf numFmtId="0" fontId="14" fillId="9" borderId="16" xfId="0" applyNumberFormat="1" applyFont="1" applyFill="1" applyBorder="1" applyAlignment="1">
      <x:alignment vertical="top" wrapText="1"/>
    </x:xf>
    <x:xf numFmtId="0" fontId="14" fillId="9" borderId="28" xfId="0" applyNumberFormat="1" applyFont="1" applyFill="1" applyBorder="1" applyAlignment="1">
      <x:alignment vertical="top" wrapText="1"/>
    </x:xf>
    <x:xf numFmtId="0" fontId="14" fillId="9" borderId="17" xfId="0" applyNumberFormat="1" applyFont="1" applyFill="1" applyBorder="1" applyAlignment="1">
      <x:alignment vertical="top" wrapText="1"/>
    </x:xf>
    <x:xf numFmtId="0" fontId="14" fillId="9" borderId="18" xfId="0" applyNumberFormat="1" applyFont="1" applyFill="1" applyBorder="1" applyAlignment="1">
      <x:alignment vertical="top" wrapText="1"/>
    </x:xf>
    <x:xf numFmtId="0" fontId="14" fillId="9" borderId="1" xfId="0" applyNumberFormat="1" applyFont="1" applyFill="1" applyBorder="1" applyAlignment="1">
      <x:alignment vertical="top" wrapText="1"/>
    </x:xf>
    <x:xf numFmtId="0" fontId="14" fillId="9" borderId="19" xfId="0" applyNumberFormat="1" applyFont="1" applyFill="1" applyBorder="1" applyAlignment="1">
      <x:alignment vertical="top" wrapText="1"/>
    </x:xf>
    <x:xf numFmtId="0" fontId="14" fillId="9" borderId="20" xfId="0" applyNumberFormat="1" applyFont="1" applyFill="1" applyBorder="1" applyAlignment="1">
      <x:alignment vertical="top" wrapText="1"/>
    </x:xf>
    <x:xf numFmtId="0" fontId="14" fillId="9" borderId="29" xfId="0" applyNumberFormat="1" applyFont="1" applyFill="1" applyBorder="1" applyAlignment="1">
      <x:alignment vertical="top" wrapText="1"/>
    </x:xf>
    <x:xf numFmtId="0" fontId="14" fillId="9" borderId="21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9" fillId="12" borderId="0" xfId="0" applyNumberFormat="1" applyFont="1" applyFill="1" applyBorder="1" applyAlignment="1">
      <x:alignment wrapText="1"/>
    </x:xf>
    <x:xf numFmtId="0" fontId="9" fillId="12" borderId="0" xfId="0" applyNumberFormat="1" applyFont="1" applyFill="1" applyBorder="1" applyAlignment="1">
      <x:alignment horizontal="center" wrapText="1"/>
    </x:xf>
    <x:xf numFmtId="0" fontId="0" fillId="12" borderId="1" xfId="0" applyNumberFormat="1" applyFont="1" applyFill="1" applyBorder="1"/>
    <x:xf numFmtId="0" fontId="9" fillId="12" borderId="1" xfId="0" applyNumberFormat="1" applyFont="1" applyFill="1" applyBorder="1"/>
    <x:xf numFmtId="0" fontId="9" fillId="12" borderId="1" xfId="0" applyNumberFormat="1" applyFont="1" applyFill="1" applyBorder="1" applyAlignment="1">
      <x:alignment wrapText="1"/>
    </x:xf>
    <x:xf numFmtId="0" fontId="9" fillId="12" borderId="1" xfId="0" applyNumberFormat="1" applyFont="1" applyFill="1" applyBorder="1" applyAlignment="1">
      <x:alignment horizontal="center" wrapText="1"/>
    </x:xf>
    <x:xf numFmtId="0" fontId="18" fillId="12" borderId="0" xfId="0" applyNumberFormat="1" applyFont="1" applyFill="1" applyBorder="1" applyAlignment="1">
      <x:alignment horizontal="center" wrapText="1"/>
    </x:xf>
    <x:xf numFmtId="0" fontId="18" fillId="12" borderId="1" xfId="0" applyNumberFormat="1" applyFont="1" applyFill="1" applyBorder="1" applyAlignment="1">
      <x:alignment horizontal="center" wrapText="1"/>
    </x:xf>
    <x:xf numFmtId="0" fontId="19" fillId="8" borderId="0" xfId="0" applyNumberFormat="1" applyFont="1" applyFill="1" applyBorder="1"/>
    <x:xf numFmtId="0" fontId="19" fillId="8" borderId="0" xfId="0" applyNumberFormat="1" applyFont="1" applyFill="1" applyBorder="1" applyAlignment="1">
      <x:alignment wrapText="1"/>
    </x:xf>
    <x:xf numFmtId="0" fontId="19" fillId="8" borderId="1" xfId="0" applyNumberFormat="1" applyFont="1" applyFill="1" applyBorder="1"/>
    <x:xf numFmtId="0" fontId="19" fillId="8" borderId="1" xfId="0" applyNumberFormat="1" applyFont="1" applyFill="1" applyBorder="1" applyAlignment="1">
      <x:alignment wrapText="1"/>
    </x:xf>
    <x:xf numFmtId="0" fontId="12" fillId="13" borderId="0" xfId="0" applyNumberFormat="1" applyFont="1" applyFill="1" applyBorder="1" applyAlignment="1">
      <x:alignment horizontal="center"/>
    </x:xf>
    <x:xf numFmtId="0" fontId="13" fillId="13" borderId="0" xfId="0" applyNumberFormat="1" applyFont="1" applyFill="1" applyBorder="1" applyAlignment="1">
      <x:alignment horizontal="center" vertical="center"/>
    </x:xf>
    <x:xf numFmtId="0" fontId="14" fillId="13" borderId="0" xfId="0" applyNumberFormat="1" applyFont="1" applyFill="1" applyBorder="1" applyAlignment="1">
      <x:alignment vertical="center" wrapText="1"/>
    </x:xf>
    <x:xf numFmtId="0" fontId="14" fillId="13" borderId="22" xfId="0" applyNumberFormat="1" applyFont="1" applyFill="1" applyBorder="1" applyAlignment="1">
      <x:alignment vertical="center" wrapText="1"/>
    </x:xf>
    <x:xf numFmtId="0" fontId="20" fillId="13" borderId="0" xfId="0" applyNumberFormat="1" applyFont="1" applyFill="1" applyBorder="1" applyAlignment="1">
      <x:alignment horizontal="center"/>
    </x:xf>
    <x:xf numFmtId="0" fontId="20" fillId="13" borderId="0" xfId="0" applyNumberFormat="1" applyFont="1" applyFill="1" applyBorder="1" applyAlignment="1">
      <x:alignment horizontal="center" vertical="center"/>
    </x:xf>
    <x:xf numFmtId="0" fontId="21" fillId="13" borderId="0" xfId="0" applyNumberFormat="1" applyFont="1" applyFill="1" applyBorder="1" applyAlignment="1">
      <x:alignment vertical="center" wrapText="1"/>
    </x:xf>
    <x:xf numFmtId="0" fontId="21" fillId="13" borderId="22" xfId="0" applyNumberFormat="1" applyFont="1" applyFill="1" applyBorder="1" applyAlignment="1">
      <x:alignment vertical="center" wrapText="1"/>
    </x:xf>
    <x:xf numFmtId="0" fontId="12" fillId="13" borderId="1" xfId="0" applyNumberFormat="1" applyFont="1" applyFill="1" applyBorder="1" applyAlignment="1">
      <x:alignment horizontal="center"/>
    </x:xf>
    <x:xf numFmtId="0" fontId="13" fillId="13" borderId="1" xfId="0" applyNumberFormat="1" applyFont="1" applyFill="1" applyBorder="1" applyAlignment="1">
      <x:alignment horizontal="center" vertical="center"/>
    </x:xf>
    <x:xf numFmtId="0" fontId="14" fillId="13" borderId="1" xfId="0" applyNumberFormat="1" applyFont="1" applyFill="1" applyBorder="1" applyAlignment="1">
      <x:alignment vertical="center" wrapText="1"/>
    </x:xf>
    <x:xf numFmtId="0" fontId="14" fillId="13" borderId="23" xfId="0" applyNumberFormat="1" applyFont="1" applyFill="1" applyBorder="1" applyAlignment="1">
      <x:alignment vertical="center" wrapText="1"/>
    </x:xf>
    <x:xf numFmtId="0" fontId="20" fillId="13" borderId="1" xfId="0" applyNumberFormat="1" applyFont="1" applyFill="1" applyBorder="1" applyAlignment="1">
      <x:alignment horizontal="center"/>
    </x:xf>
    <x:xf numFmtId="0" fontId="20" fillId="13" borderId="1" xfId="0" applyNumberFormat="1" applyFont="1" applyFill="1" applyBorder="1" applyAlignment="1">
      <x:alignment horizontal="center" vertical="center"/>
    </x:xf>
    <x:xf numFmtId="0" fontId="21" fillId="13" borderId="1" xfId="0" applyNumberFormat="1" applyFont="1" applyFill="1" applyBorder="1" applyAlignment="1">
      <x:alignment vertical="center" wrapText="1"/>
    </x:xf>
    <x:xf numFmtId="0" fontId="21" fillId="13" borderId="23" xfId="0" applyNumberFormat="1" applyFont="1" applyFill="1" applyBorder="1" applyAlignment="1">
      <x:alignment vertical="center" wrapText="1"/>
    </x:xf>
    <x:xf numFmtId="201" fontId="11" fillId="0" borderId="13" xfId="0" applyNumberFormat="1" applyFont="1" applyFill="1" applyBorder="1" applyAlignment="1">
      <x:alignment horizontal="center"/>
    </x:xf>
    <x:xf numFmtId="0" fontId="4" fillId="0" xfId="0" applyNumberFormat="1" applyFont="1" applyFill="1" applyBorder="0"/>
    <x:xf numFmtId="0" fontId="4" fillId="0" xfId="0" applyNumberFormat="1" applyFont="1" applyFill="1" applyBorder="0" applyAlignment="1">
      <x:alignment wrapText="1"/>
    </x:xf>
    <x:xf numFmtId="0" fontId="4" fillId="0" xfId="0" applyNumberFormat="1" applyFont="1" applyFill="1" applyBorder="0" applyAlignment="1">
      <x:alignment vertical="top" wrapText="1"/>
    </x:xf>
    <x:xf numFmtId="0" fontId="4" fillId="0" xfId="0" applyNumberFormat="1" applyFont="1" applyFill="1" applyBorder="0" applyAlignment="1">
      <x:alignment horizontal="center" vertical="top" wrapText="1"/>
    </x:xf>
    <x:xf numFmtId="200" fontId="4" fillId="0" xfId="0" applyNumberFormat="1" applyFont="1" applyFill="1" applyBorder="0" applyAlignment="1">
      <x:alignment vertical="top" wrapText="1"/>
    </x:xf>
    <x:xf numFmtId="201" fontId="4" fillId="0" xfId="0" applyNumberFormat="1" applyFont="1" applyFill="1" applyBorder="0" applyAlignment="1">
      <x:alignment horizontal="center" vertical="top" wrapText="1"/>
    </x:xf>
    <x:xf numFmtId="0" fontId="5" fillId="0" xfId="0" applyNumberFormat="1" applyFont="1" applyFill="1" applyBorder="0" applyAlignment="1">
      <x:alignment vertical="top" wrapText="1"/>
    </x:xf>
    <x:xf numFmtId="0" fontId="6" fillId="0" xfId="0" applyNumberFormat="1" applyFont="1" applyFill="1" applyBorder="0" applyAlignment="1">
      <x:alignment vertical="top" wrapText="1"/>
    </x:xf>
    <x:xf numFmtId="0" fontId="7" fillId="0" xfId="0" applyNumberFormat="1" applyFont="1" applyFill="1" applyBorder="0" applyAlignment="1">
      <x:alignment vertical="top" wrapText="1"/>
    </x:xf>
    <x:xf numFmtId="0" fontId="0" fillId="14" borderId="0" xfId="0" applyNumberFormat="1" applyFont="1" applyFill="1" applyBorder="1"/>
    <x:xf numFmtId="0" fontId="10" fillId="14" borderId="0" xfId="0" applyNumberFormat="1" applyFont="1" applyFill="1" applyBorder="1"/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0" xfId="0" applyNumberFormat="1" applyFont="1" applyFill="1" applyBorder="1" applyAlignment="1">
      <x:alignment horizontal="center"/>
    </x:xf>
    <x:xf numFmtId="0" fontId="1" fillId="15" borderId="0" xfId="0" applyNumberFormat="1" applyFont="1" applyFill="1" applyBorder="1" applyAlignment="1">
      <x:alignment horizontal="center" vertical="center"/>
    </x:xf>
    <x:xf numFmtId="0" fontId="2" fillId="14" borderId="0" xfId="0" applyNumberFormat="1" applyFont="1" applyFill="1" applyBorder="1"/>
    <x:xf numFmtId="0" fontId="2" fillId="14" borderId="0" xfId="0" applyNumberFormat="1" applyFont="1" applyFill="1" applyBorder="1" applyAlignment="1">
      <x:alignment wrapText="1"/>
    </x:xf>
    <x:xf numFmtId="0" fontId="2" fillId="14" borderId="0" xfId="0" applyNumberFormat="1" applyFont="1" applyFill="1" applyBorder="1" applyAlignment="1">
      <x:alignment horizontal="center" wrapText="1"/>
    </x:xf>
    <x:xf numFmtId="0" fontId="2" fillId="14" borderId="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9" fillId="16" borderId="0" xfId="0" applyNumberFormat="1" applyFont="1" applyFill="1" applyBorder="1"/>
    <x:xf numFmtId="0" fontId="9" fillId="16" borderId="0" xfId="0" applyNumberFormat="1" applyFont="1" applyFill="1" applyBorder="1" applyAlignment="1">
      <x:alignment horizontal="center"/>
    </x:xf>
    <x:xf numFmtId="0" fontId="16" fillId="14" borderId="0" xfId="0" applyNumberFormat="1" applyFont="1" applyFill="1" applyBorder="1"/>
    <x:xf numFmtId="0" fontId="22" fillId="0" borderId="0" xfId="0" applyNumberFormat="1" applyFont="1" applyFill="1" applyBorder="1"/>
    <x:xf numFmtId="0" fontId="22" fillId="0" borderId="0" xfId="0" applyNumberFormat="1" applyFont="1" applyFill="1" applyBorder="1" applyAlignment="1">
      <x:alignment horizontal="center"/>
    </x:xf>
    <x:xf numFmtId="0" fontId="0" fillId="17" borderId="0" xfId="0" applyNumberFormat="1" applyFont="1" applyFill="1" applyBorder="1"/>
    <x:xf numFmtId="0" fontId="19" fillId="17" borderId="0" xfId="0" applyNumberFormat="1" applyFont="1" applyFill="1" applyBorder="1"/>
    <x:xf numFmtId="0" fontId="19" fillId="17" borderId="0" xfId="0" applyNumberFormat="1" applyFont="1" applyFill="1" applyBorder="1" applyAlignment="1">
      <x:alignment horizontal="center"/>
    </x:xf>
    <x:xf numFmtId="0" fontId="0" fillId="18" borderId="0" xfId="0" applyNumberFormat="1" applyFont="1" applyFill="1" applyBorder="1"/>
    <x:xf numFmtId="0" fontId="9" fillId="18" borderId="0" xfId="0" applyNumberFormat="1" applyFont="1" applyFill="1" applyBorder="1"/>
    <x:xf numFmtId="0" fontId="9" fillId="18" borderId="0" xfId="0" applyNumberFormat="1" applyFont="1" applyFill="1" applyBorder="1" applyAlignment="1">
      <x:alignment horizontal="center"/>
    </x:xf>
    <x:xf numFmtId="0" fontId="0" fillId="19" borderId="0" xfId="0" applyNumberFormat="1" applyFont="1" applyFill="1" applyBorder="1"/>
    <x:xf numFmtId="0" fontId="23" fillId="19" borderId="0" xfId="0" applyNumberFormat="1" applyFont="1" applyFill="1" applyBorder="1"/>
    <x:xf numFmtId="0" fontId="23" fillId="19" borderId="0" xfId="0" applyNumberFormat="1" applyFont="1" applyFill="1" applyBorder="1" applyAlignment="1">
      <x:alignment horizontal="center"/>
    </x:xf>
    <x:xf numFmtId="0" fontId="16" fillId="0" borderId="0" xfId="0" applyNumberFormat="1" applyFont="1" applyFill="1" applyBorder="1"/>
    <x:xf numFmtId="0" fontId="23" fillId="19" xfId="0" applyNumberFormat="1" applyFont="1" applyFill="1" applyBorder="0" applyAlignment="1">
      <x:alignment horizontal="center"/>
    </x:xf>
    <x:xf numFmtId="0" fontId="16" fillId="0" xfId="0" applyNumberFormat="1" applyFont="1" applyFill="1" applyBorder="0"/>
    <x:xf numFmtId="0" fontId="0" fillId="0" xfId="0" applyNumberFormat="1" applyFont="1" applyFill="1" applyBorder="0"/>
    <x:xf numFmtId="0" fontId="23" fillId="19" borderId="22" xfId="0" applyNumberFormat="1" applyFont="1" applyFill="1" applyBorder="1" applyAlignment="1">
      <x:alignment horizontal="center"/>
    </x:xf>
    <x:xf numFmtId="0" fontId="16" fillId="0" borderId="22" xfId="0" applyNumberFormat="1" applyFont="1" applyFill="1" applyBorder="1"/>
    <x:xf numFmtId="0" fontId="0" fillId="0" borderId="22" xfId="0" applyNumberFormat="1" applyFont="1" applyFill="1" applyBorder="1"/>
    <x:xf numFmtId="0" fontId="23" fillId="19" xfId="0" applyNumberFormat="1" applyFont="1" applyFill="1" applyBorder="0" applyAlignment="1">
      <x:alignment horizontal="center" wrapText="1"/>
    </x:xf>
    <x:xf numFmtId="0" fontId="16" fillId="0" xfId="0" applyNumberFormat="1" applyFont="1" applyFill="1" applyBorder="0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23" fillId="19" borderId="22" xfId="0" applyNumberFormat="1" applyFont="1" applyFill="1" applyBorder="1" applyAlignment="1">
      <x:alignment horizontal="center" wrapText="1"/>
    </x:xf>
    <x:xf numFmtId="0" fontId="16" fillId="0" borderId="22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23" fillId="19" xfId="0" applyNumberFormat="1" applyFont="1" applyFill="1" applyBorder="0" applyAlignment="1">
      <x:alignment horizontal="center" vertical="center" wrapText="1"/>
    </x:xf>
    <x:xf numFmtId="0" fontId="16" fillId="0" xfId="0" applyNumberFormat="1" applyFont="1" applyFill="1" applyBorder="0" applyAlignment="1">
      <x:alignment vertical="center" wrapText="1"/>
    </x:xf>
    <x:xf numFmtId="0" fontId="0" fillId="0" xfId="0" applyNumberFormat="1" applyFont="1" applyFill="1" applyBorder="0" applyAlignment="1">
      <x:alignment vertical="center" wrapText="1"/>
    </x:xf>
    <x:xf numFmtId="0" fontId="23" fillId="19" borderId="22" xfId="0" applyNumberFormat="1" applyFont="1" applyFill="1" applyBorder="1" applyAlignment="1">
      <x:alignment horizontal="center" vertical="center" wrapText="1"/>
    </x:xf>
    <x:xf numFmtId="0" fontId="16" fillId="0" borderId="22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9" fillId="16" borderId="0" xfId="0" applyNumberFormat="1" applyFont="1" applyFill="1" applyBorder="1" applyAlignment="1">
      <x:alignment wrapText="1"/>
    </x:xf>
    <x:xf numFmtId="0" fontId="9" fillId="16" borderId="0" xfId="0" applyNumberFormat="1" applyFont="1" applyFill="1" applyBorder="1" applyAlignment="1">
      <x:alignment horizontal="center" wrapText="1"/>
    </x:xf>
    <x:xf numFmtId="0" fontId="9" fillId="16" borderId="0" xfId="0" applyNumberFormat="1" applyFont="1" applyFill="1" applyBorder="1" applyAlignment="1">
      <x:alignment horizontal="center" vertical="center" wrapText="1"/>
    </x:xf>
    <x:xf numFmtId="0" fontId="4" fillId="20" xfId="0" applyNumberFormat="1" applyFont="1" applyFill="1" applyBorder="0" applyAlignment="1">
      <x:alignment vertical="top" wrapText="1"/>
    </x:xf>
    <x:xf numFmtId="0" fontId="4" fillId="20" borderId="8" xfId="0" applyNumberFormat="1" applyFont="1" applyFill="1" applyBorder="1" applyAlignment="1">
      <x:alignment vertical="top" wrapText="1"/>
    </x:xf>
    <x:xf numFmtId="0" fontId="5" fillId="20" xfId="0" applyNumberFormat="1" applyFont="1" applyFill="1" applyBorder="0" applyAlignment="1">
      <x:alignment vertical="top" wrapText="1"/>
    </x:xf>
    <x:xf numFmtId="0" fontId="5" fillId="20" borderId="8" xfId="0" applyNumberFormat="1" applyFont="1" applyFill="1" applyBorder="1" applyAlignment="1">
      <x:alignment vertical="top" wrapText="1"/>
    </x:xf>
    <x:xf numFmtId="0" fontId="0" fillId="21" borderId="0" xfId="0" applyNumberFormat="1" applyFont="1" applyFill="1" applyBorder="1"/>
    <x:xf numFmtId="0" fontId="9" fillId="21" borderId="0" xfId="0" applyNumberFormat="1" applyFont="1" applyFill="1" applyBorder="1"/>
    <x:xf numFmtId="0" fontId="9" fillId="21" borderId="0" xfId="0" applyNumberFormat="1" applyFont="1" applyFill="1" applyBorder="1" applyAlignment="1">
      <x:alignment horizontal="center"/>
    </x:xf>
    <x:xf numFmtId="0" fontId="24" fillId="17" borderId="0" xfId="0" applyNumberFormat="1" applyFont="1" applyFill="1" applyBorder="1"/>
    <x:xf numFmtId="0" fontId="24" fillId="17" borderId="0" xfId="0" applyNumberFormat="1" applyFont="1" applyFill="1" applyBorder="1" applyAlignment="1">
      <x:alignment wrapText="1"/>
    </x:xf>
    <x:xf numFmtId="0" fontId="24" fillId="17" borderId="0" xfId="0" applyNumberFormat="1" applyFont="1" applyFill="1" applyBorder="1" applyAlignment="1">
      <x:alignment horizontal="left" wrapText="1"/>
    </x:xf>
    <x:xf numFmtId="0" fontId="24" fillId="17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9" fillId="8" borderId="0" xfId="0" applyNumberFormat="1" applyFont="1" applyFill="1" applyBorder="1" applyAlignment="1">
      <x:alignment horizontal="center"/>
    </x:xf>
    <x:xf numFmtId="0" fontId="23" fillId="6" borderId="0" xfId="0" applyNumberFormat="1" applyFont="1" applyFill="1" applyBorder="1"/>
    <x:xf numFmtId="0" fontId="23" fillId="6" borderId="0" xfId="0" applyNumberFormat="1" applyFont="1" applyFill="1" applyBorder="1" applyAlignment="1">
      <x:alignment horizontal="center"/>
    </x:xf>
    <x:xf numFmtId="0" fontId="23" fillId="6" xfId="0" applyNumberFormat="1" applyFont="1" applyFill="1" applyBorder="0" applyAlignment="1">
      <x:alignment horizontal="center"/>
    </x:xf>
    <x:xf numFmtId="0" fontId="23" fillId="6" borderId="22" xfId="0" applyNumberFormat="1" applyFont="1" applyFill="1" applyBorder="1" applyAlignment="1">
      <x:alignment horizontal="center"/>
    </x:xf>
    <x:xf numFmtId="0" fontId="23" fillId="6" xfId="0" applyNumberFormat="1" applyFont="1" applyFill="1" applyBorder="0" applyAlignment="1">
      <x:alignment horizontal="center" wrapText="1"/>
    </x:xf>
    <x:xf numFmtId="0" fontId="23" fillId="6" borderId="22" xfId="0" applyNumberFormat="1" applyFont="1" applyFill="1" applyBorder="1" applyAlignment="1">
      <x:alignment horizontal="center" wrapText="1"/>
    </x:xf>
    <x:xf numFmtId="0" fontId="23" fillId="6" xfId="0" applyNumberFormat="1" applyFont="1" applyFill="1" applyBorder="0" applyAlignment="1">
      <x:alignment horizontal="center" vertical="center" wrapText="1"/>
    </x:xf>
    <x:xf numFmtId="0" fontId="23" fillId="6" borderId="22" xfId="0" applyNumberFormat="1" applyFont="1" applyFill="1" applyBorder="1" applyAlignment="1">
      <x:alignment horizontal="center" vertical="center" wrapText="1"/>
    </x:xf>
    <x:xf numFmtId="0" fontId="9" fillId="4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horizontal="center" wrapText="1"/>
    </x:xf>
    <x:xf numFmtId="0" fontId="9" fillId="4" borderId="0" xfId="0" applyNumberFormat="1" applyFont="1" applyFill="1" applyBorder="1" applyAlignment="1">
      <x:alignment horizontal="center" vertical="center" wrapText="1"/>
    </x:xf>
    <x:xf numFmtId="0" fontId="24" fillId="8" borderId="0" xfId="0" applyNumberFormat="1" applyFont="1" applyFill="1" applyBorder="1"/>
    <x:xf numFmtId="0" fontId="24" fillId="8" borderId="0" xfId="0" applyNumberFormat="1" applyFont="1" applyFill="1" applyBorder="1" applyAlignment="1">
      <x:alignment wrapText="1"/>
    </x:xf>
    <x:xf numFmtId="0" fontId="24" fillId="8" borderId="0" xfId="0" applyNumberFormat="1" applyFont="1" applyFill="1" applyBorder="1" applyAlignment="1">
      <x:alignment horizontal="left" wrapText="1"/>
    </x:xf>
    <x:xf numFmtId="0" fontId="24" fillId="8" borderId="0" xfId="0" applyNumberFormat="1" applyFont="1" applyFill="1" applyBorder="1" applyAlignment="1">
      <x:alignment horizontal="left" vertical="center" wrapText="1"/>
    </x:xf>
    <x:xf numFmtId="0" fontId="0" fillId="22" borderId="0" xfId="0" applyNumberFormat="1" applyFont="1" applyFill="1" applyBorder="1"/>
    <x:xf numFmtId="0" fontId="25" fillId="22" borderId="0" xfId="0" applyNumberFormat="1" applyFont="1" applyFill="1" applyBorder="1"/>
    <x:xf numFmtId="0" fontId="25" fillId="22" borderId="0" xfId="0" applyNumberFormat="1" applyFont="1" applyFill="1" applyBorder="1" applyAlignment="1">
      <x:alignment horizontal="center"/>
    </x:xf>
    <x:xf numFmtId="0" fontId="25" fillId="22" borderId="0" xfId="0" applyNumberFormat="1" applyFont="1" applyFill="1" applyBorder="1" applyAlignment="1">
      <x:alignment horizontal="center" vertical="center"/>
    </x:xf>
    <x:xf numFmtId="0" fontId="0" fillId="23" borderId="0" xfId="0" applyNumberFormat="1" applyFont="1" applyFill="1" applyBorder="1"/>
    <x:xf numFmtId="0" fontId="2" fillId="23" borderId="0" xfId="0" applyNumberFormat="1" applyFont="1" applyFill="1" applyBorder="1"/>
    <x:xf numFmtId="0" fontId="2" fillId="23" borderId="0" xfId="0" applyNumberFormat="1" applyFont="1" applyFill="1" applyBorder="1" applyAlignment="1">
      <x:alignment wrapText="1"/>
    </x:xf>
    <x:xf numFmtId="0" fontId="2" fillId="23" borderId="0" xfId="0" applyNumberFormat="1" applyFont="1" applyFill="1" applyBorder="1" applyAlignment="1">
      <x:alignment vertical="center" wrapText="1"/>
    </x:xf>
    <x:xf numFmtId="0" fontId="0" fillId="24" borderId="0" xfId="0" applyNumberFormat="1" applyFont="1" applyFill="1" applyBorder="1"/>
    <x:xf numFmtId="0" fontId="3" fillId="24" borderId="0" xfId="0" applyNumberFormat="1" applyFont="1" applyFill="1" applyBorder="1"/>
    <x:xf numFmtId="0" fontId="3" fillId="24" borderId="0" xfId="0" applyNumberFormat="1" applyFont="1" applyFill="1" applyBorder="1" applyAlignment="1">
      <x:alignment wrapText="1"/>
    </x:xf>
    <x:xf numFmtId="0" fontId="3" fillId="24" borderId="0" xfId="0" applyNumberFormat="1" applyFont="1" applyFill="1" applyBorder="1" applyAlignment="1">
      <x:alignment horizontal="center" wrapText="1"/>
    </x:xf>
    <x:xf numFmtId="0" fontId="3" fillId="24" borderId="0" xfId="0" applyNumberFormat="1" applyFont="1" applyFill="1" applyBorder="1" applyAlignment="1">
      <x:alignment horizontal="center" vertical="center" wrapText="1"/>
    </x:xf>
    <x:xf numFmtId="0" fontId="4" fillId="25" xfId="0" applyNumberFormat="1" applyFont="1" applyFill="1" applyBorder="0" applyAlignment="1">
      <x:alignment vertical="top" wrapText="1"/>
    </x:xf>
    <x:xf numFmtId="0" fontId="4" fillId="25" borderId="8" xfId="0" applyNumberFormat="1" applyFont="1" applyFill="1" applyBorder="1" applyAlignment="1">
      <x:alignment vertical="top" wrapText="1"/>
    </x:xf>
    <x:xf numFmtId="0" fontId="0" fillId="26" borderId="0" xfId="0" applyNumberFormat="1" applyFont="1" applyFill="1" applyBorder="1"/>
    <x:xf numFmtId="0" fontId="2" fillId="26" borderId="0" xfId="0" applyNumberFormat="1" applyFont="1" applyFill="1" applyBorder="1"/>
    <x:xf numFmtId="0" fontId="2" fillId="26" borderId="0" xfId="0" applyNumberFormat="1" applyFont="1" applyFill="1" applyBorder="1" applyAlignment="1">
      <x:alignment wrapText="1"/>
    </x:xf>
    <x:xf numFmtId="0" fontId="2" fillId="26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/>
    <x:xf numFmtId="0" fontId="3" fillId="27" borderId="0" xfId="0" applyNumberFormat="1" applyFont="1" applyFill="1" applyBorder="1"/>
    <x:xf numFmtId="0" fontId="3" fillId="27" borderId="0" xfId="0" applyNumberFormat="1" applyFont="1" applyFill="1" applyBorder="1" applyAlignment="1">
      <x:alignment wrapText="1"/>
    </x:xf>
    <x:xf numFmtId="0" fontId="3" fillId="27" borderId="0" xfId="0" applyNumberFormat="1" applyFont="1" applyFill="1" applyBorder="1" applyAlignment="1">
      <x:alignment horizontal="center" wrapText="1"/>
    </x:xf>
    <x:xf numFmtId="0" fontId="3" fillId="27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8">
    <x:dxf>
      <x:fill>
        <x:patternFill>
          <x:bgColor rgb="FFF8FBFD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548235"/>
      </x:font>
      <x:fill>
        <x:patternFill>
          <x:bgColor rgb="FFEAF2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C65911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4CCCC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D9EAF7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E7E6E6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8FBFD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548235"/>
      </x:font>
      <x:fill>
        <x:patternFill>
          <x:bgColor rgb="FFEAF2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C65911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4CCCC"/>
        </x:patternFill>
      </x:fill>
    </x:dxf>
    <x:dxf>
      <x:font>
        <x:b/>
      </x:font>
      <x:fill>
        <x:patternFill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cd116655844f66" /><Relationship Type="http://schemas.openxmlformats.org/officeDocument/2006/relationships/theme" Target="/xl/theme/theme1.xml" Id="Rae62fb6f789748a7" /><Relationship Type="http://schemas.openxmlformats.org/officeDocument/2006/relationships/sharedStrings" Target="/xl/sharedStrings.xml" Id="Rbb69cbd3c0c64d63" /><Relationship Type="http://schemas.openxmlformats.org/officeDocument/2006/relationships/worksheet" Target="/xl/worksheets/sheet1.xml" Id="Re92841ca88bb4fa5" /><Relationship Type="http://schemas.openxmlformats.org/officeDocument/2006/relationships/worksheet" Target="/xl/worksheets/sheet2.xml" Id="R1a41b432a666489b" /><Relationship Type="http://schemas.openxmlformats.org/officeDocument/2006/relationships/worksheet" Target="/xl/worksheets/sheet3.xml" Id="Re27ec3dacb934745" /><Relationship Type="http://schemas.openxmlformats.org/officeDocument/2006/relationships/worksheet" Target="/xl/worksheets/sheet4.xml" Id="R70a893e5b1d74a13" /><Relationship Type="http://schemas.openxmlformats.org/officeDocument/2006/relationships/worksheet" Target="/xl/worksheets/sheet5.xml" Id="R8fffe0ce2db04e48" /><Relationship Type="http://schemas.openxmlformats.org/officeDocument/2006/relationships/worksheet" Target="/xl/worksheets/sheet6.xml" Id="R2a891143477f4338" /><Relationship Type="http://schemas.openxmlformats.org/officeDocument/2006/relationships/worksheet" Target="/xl/worksheets/sheet7.xml" Id="Rb69b787360be4d26" /><Relationship Type="http://schemas.openxmlformats.org/officeDocument/2006/relationships/worksheet" Target="/xl/worksheets/sheet8.xml" Id="R5aaa21cd88634ab8" /><Relationship Type="http://schemas.openxmlformats.org/officeDocument/2006/relationships/worksheet" Target="/xl/worksheets/sheet9.xml" Id="R903cef7aea4240f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694a7d5a2de4c83" /><Relationship Type="http://schemas.openxmlformats.org/officeDocument/2006/relationships/chart" Target="/xl/drawings/charts/chart2.xml" Id="Racbe43e70939475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7fd4d805c5cd4ff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Distribución por nivel de confianza</a:t>
            </a:r>
          </a:p>
        </c:rich>
      </c:tx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Cantidad</c:v>
          </c:tx>
          <c:cat>
            <c:strRef>
              <c:f>'Dashboard'!$D$5:$D$9</c:f>
              <c:strCache>
                <c:ptCount val="0"/>
              </c:strCache>
            </c:strRef>
          </c:cat>
          <c:val>
            <c:numRef>
              <c:f>'Dashboard'!$E$5:$E$9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Distribución por estado de uso</a:t>
            </a:r>
          </a:p>
        </c:rich>
      </c:tx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Cantidad</c:v>
          </c:tx>
          <c:cat>
            <c:strRef>
              <c:f>'Dashboard'!$G$5:$G$9</c:f>
              <c:strCache>
                <c:ptCount val="0"/>
              </c:strCache>
            </c:strRef>
          </c:cat>
          <c:val>
            <c:numRef>
              <c:f>'Dashboard'!$H$5:$H$9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Fuentes seleccionadas por subregión</a:t>
            </a:r>
          </a:p>
        </c:rich>
      </c:tx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Fuentes</c:v>
          </c:tx>
          <c:cat>
            <c:strRef>
              <c:f>'Cobertura África'!$A$5:$A$10</c:f>
              <c:strCache>
                <c:ptCount val="0"/>
              </c:strCache>
            </c:strRef>
          </c:cat>
          <c:val>
            <c:numRef>
              <c:f>'Cobertura África'!$B$5:$B$10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10</xdr:row>
      <xdr:rowOff>0</xdr:rowOff>
    </xdr:from>
    <xdr:to>
      <xdr:col>6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694a7d5a2de4c83"/>
        </a:graphicData>
      </a:graphic>
    </xdr:graphicFrame>
    <xdr:clientData/>
  </xdr:twoCellAnchor>
  <xdr:twoCellAnchor>
    <xdr:from>
      <xdr:col>6</xdr:col>
      <xdr:colOff>0</xdr:colOff>
      <xdr:row>10</xdr:row>
      <xdr:rowOff>0</xdr:rowOff>
    </xdr:from>
    <xdr:to>
      <xdr:col>10</xdr:col>
      <xdr:colOff>0</xdr:colOff>
      <xdr:row>26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cbe43e70939475f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10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fd4d805c5cd4ff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trizFuentes" displayName="MatrizFuentes" ref="A4:AA97" headerRowCount="1" totalsRowCount="0">
  <x:tableColumns count="27">
    <x:tableColumn id="1" name="ID"/>
    <x:tableColumn id="2" name="Nombre"/>
    <x:tableColumn id="3" name="URL"/>
    <x:tableColumn id="4" name="Sede / alcance institucional"/>
    <x:tableColumn id="5" name="Región principal"/>
    <x:tableColumn id="6" name="Idioma / edición"/>
    <x:tableColumn id="7" name="Familia de fuente"/>
    <x:tableColumn id="8" name="Función epistemológica"/>
    <x:tableColumn id="9" name="Propiedad / financiación"/>
    <x:tableColumn id="10" name="Tipo de control"/>
    <x:tableColumn id="11" name="Orientación editorial"/>
    <x:tableColumn id="12" name="Perspectiva geopolítica"/>
    <x:tableColumn id="13" name="Fiabilidad factual (1-5)"/>
    <x:tableColumn id="14" name="Independencia editorial (1-5)"/>
    <x:tableColumn id="15" name="Transparencia (1-5)"/>
    <x:tableColumn id="16" name="Rigor metodológico (1-5)"/>
    <x:tableColumn id="17" name="Política de correcciones (1-5)"/>
    <x:tableColumn id="18" name="Separación noticia/opinión (1-5)"/>
    <x:tableColumn id="19" name="Puntuación global"/>
    <x:tableColumn id="20" name="Nivel de confianza"/>
    <x:tableColumn id="21" name="Uso analítico recomendado"/>
    <x:tableColumn id="22" name="Corroboración requerida"/>
    <x:tableColumn id="23" name="Corroborar con"/>
    <x:tableColumn id="24" name="Estado"/>
    <x:tableColumn id="25" name="Observaciones"/>
    <x:tableColumn id="26" name="Referencia institucional"/>
    <x:tableColumn id="27" name="Fecha de revisión"/>
  </x:tableColumns>
  <x:tableStyleInfo name="TableStyleMedium2" showRowStripes="1"/>
</x:table>
</file>

<file path=xl/tables/table2.xml><?xml version="1.0" encoding="utf-8"?>
<x:table xmlns:x="http://schemas.openxmlformats.org/spreadsheetml/2006/main" id="2" name="FuentesAfrica" displayName="FuentesAfrica" ref="A14:F34" headerRowCount="1">
  <x:tableColumns count="6">
    <x:tableColumn id="1" name="Subregión"/>
    <x:tableColumn id="2" name="Fuente"/>
    <x:tableColumn id="3" name="Sede / país"/>
    <x:tableColumn id="4" name="Tipo"/>
    <x:tableColumn id="5" name="Uso principal"/>
    <x:tableColumn id="6" name="Corroboración"/>
  </x:tableColumns>
  <x:tableStyleInfo name="TableStyleMedium2" showRowStripes="1"/>
</x:table>
</file>

<file path=xl/tables/table3.xml><?xml version="1.0" encoding="utf-8"?>
<x:table xmlns:x="http://schemas.openxmlformats.org/spreadsheetml/2006/main" id="3" name="TablaPorRegion" displayName="TablaPorRegion" ref="A4:AA97" headerRowCount="1" totalsRowCount="0">
  <x:tableColumns count="27">
    <x:tableColumn id="1" name="ID"/>
    <x:tableColumn id="2" name="Nombre"/>
    <x:tableColumn id="3" name="URL"/>
    <x:tableColumn id="4" name="Sede / alcance institucional"/>
    <x:tableColumn id="5" name="Región principal"/>
    <x:tableColumn id="6" name="Idioma / edición"/>
    <x:tableColumn id="7" name="Familia de fuente"/>
    <x:tableColumn id="8" name="Función epistemológica"/>
    <x:tableColumn id="9" name="Propiedad / financiación"/>
    <x:tableColumn id="10" name="Tipo de control"/>
    <x:tableColumn id="11" name="Orientación editorial"/>
    <x:tableColumn id="12" name="Perspectiva geopolítica"/>
    <x:tableColumn id="13" name="Fiabilidad factual (1-5)"/>
    <x:tableColumn id="14" name="Independencia editorial (1-5)"/>
    <x:tableColumn id="15" name="Transparencia (1-5)"/>
    <x:tableColumn id="16" name="Rigor metodológico (1-5)"/>
    <x:tableColumn id="17" name="Política de correcciones (1-5)"/>
    <x:tableColumn id="18" name="Separación noticia/opinión (1-5)"/>
    <x:tableColumn id="19" name="Puntuación global"/>
    <x:tableColumn id="20" name="Nivel de confianza"/>
    <x:tableColumn id="21" name="Uso analítico recomendado"/>
    <x:tableColumn id="22" name="Corroboración requerida"/>
    <x:tableColumn id="23" name="Corroborar con"/>
    <x:tableColumn id="24" name="Estado"/>
    <x:tableColumn id="25" name="Observaciones"/>
    <x:tableColumn id="26" name="Referencia institucional"/>
    <x:tableColumn id="27" name="Fecha de revisión"/>
  </x:tableColumns>
  <x:tableStyleInfo name="TableStyleMedium2" showRowStripes="1"/>
</x:table>
</file>

<file path=xl/tables/table4.xml><?xml version="1.0" encoding="utf-8"?>
<x:table xmlns:x="http://schemas.openxmlformats.org/spreadsheetml/2006/main" id="4" name="TablaPorFuncion" displayName="TablaPorFuncion" ref="A4:AA97" headerRowCount="1" totalsRowCount="0">
  <x:tableColumns count="27">
    <x:tableColumn id="1" name="ID"/>
    <x:tableColumn id="2" name="Nombre"/>
    <x:tableColumn id="3" name="URL"/>
    <x:tableColumn id="4" name="Sede / alcance institucional"/>
    <x:tableColumn id="5" name="Región principal"/>
    <x:tableColumn id="6" name="Idioma / edición"/>
    <x:tableColumn id="7" name="Familia de fuente"/>
    <x:tableColumn id="8" name="Función epistemológica"/>
    <x:tableColumn id="9" name="Propiedad / financiación"/>
    <x:tableColumn id="10" name="Tipo de control"/>
    <x:tableColumn id="11" name="Orientación editorial"/>
    <x:tableColumn id="12" name="Perspectiva geopolítica"/>
    <x:tableColumn id="13" name="Fiabilidad factual (1-5)"/>
    <x:tableColumn id="14" name="Independencia editorial (1-5)"/>
    <x:tableColumn id="15" name="Transparencia (1-5)"/>
    <x:tableColumn id="16" name="Rigor metodológico (1-5)"/>
    <x:tableColumn id="17" name="Política de correcciones (1-5)"/>
    <x:tableColumn id="18" name="Separación noticia/opinión (1-5)"/>
    <x:tableColumn id="19" name="Puntuación global"/>
    <x:tableColumn id="20" name="Nivel de confianza"/>
    <x:tableColumn id="21" name="Uso analítico recomendado"/>
    <x:tableColumn id="22" name="Corroboración requerida"/>
    <x:tableColumn id="23" name="Corroborar con"/>
    <x:tableColumn id="24" name="Estado"/>
    <x:tableColumn id="25" name="Observaciones"/>
    <x:tableColumn id="26" name="Referencia institucional"/>
    <x:tableColumn id="27" name="Fecha de revisión"/>
  </x:tableColumns>
  <x:tableStyleInfo name="TableStyleMedium2" showRowStripes="1"/>
</x:table>
</file>

<file path=xl/tables/table5.xml><?xml version="1.0" encoding="utf-8"?>
<x:table xmlns:x="http://schemas.openxmlformats.org/spreadsheetml/2006/main" id="5" name="TablaPorPerspectiva" displayName="TablaPorPerspectiva" ref="A4:AA97" headerRowCount="1" totalsRowCount="0">
  <x:tableColumns count="27">
    <x:tableColumn id="1" name="ID"/>
    <x:tableColumn id="2" name="Nombre"/>
    <x:tableColumn id="3" name="URL"/>
    <x:tableColumn id="4" name="Sede / alcance institucional"/>
    <x:tableColumn id="5" name="Región principal"/>
    <x:tableColumn id="6" name="Idioma / edición"/>
    <x:tableColumn id="7" name="Familia de fuente"/>
    <x:tableColumn id="8" name="Función epistemológica"/>
    <x:tableColumn id="9" name="Propiedad / financiación"/>
    <x:tableColumn id="10" name="Tipo de control"/>
    <x:tableColumn id="11" name="Orientación editorial"/>
    <x:tableColumn id="12" name="Perspectiva geopolítica"/>
    <x:tableColumn id="13" name="Fiabilidad factual (1-5)"/>
    <x:tableColumn id="14" name="Independencia editorial (1-5)"/>
    <x:tableColumn id="15" name="Transparencia (1-5)"/>
    <x:tableColumn id="16" name="Rigor metodológico (1-5)"/>
    <x:tableColumn id="17" name="Política de correcciones (1-5)"/>
    <x:tableColumn id="18" name="Separación noticia/opinión (1-5)"/>
    <x:tableColumn id="19" name="Puntuación global"/>
    <x:tableColumn id="20" name="Nivel de confianza"/>
    <x:tableColumn id="21" name="Uso analítico recomendado"/>
    <x:tableColumn id="22" name="Corroboración requerida"/>
    <x:tableColumn id="23" name="Corroborar con"/>
    <x:tableColumn id="24" name="Estado"/>
    <x:tableColumn id="25" name="Observaciones"/>
    <x:tableColumn id="26" name="Referencia institucional"/>
    <x:tableColumn id="27" name="Fecha de revisión"/>
  </x:tableColumns>
  <x:tableStyleInfo name="TableStyleMedium2" showRowStripes="1"/>
</x:table>
</file>

<file path=xl/tables/table6.xml><?xml version="1.0" encoding="utf-8"?>
<x:table xmlns:x="http://schemas.openxmlformats.org/spreadsheetml/2006/main" id="6" name="TablaConsultaRapida" displayName="TablaConsultaRapida" ref="A4:L97" headerRowCount="1" totalsRowCount="0">
  <x:tableColumns count="12">
    <x:tableColumn id="1" name="Nombre"/>
    <x:tableColumn id="2" name="URL"/>
    <x:tableColumn id="3" name="Región"/>
    <x:tableColumn id="4" name="Familia"/>
    <x:tableColumn id="5" name="Función epistemológica"/>
    <x:tableColumn id="6" name="Perspectiva geopolítica"/>
    <x:tableColumn id="7" name="Puntuación global"/>
    <x:tableColumn id="8" name="Confianza"/>
    <x:tableColumn id="9" name="Uso recomendado"/>
    <x:tableColumn id="10" name="Corroboración"/>
    <x:tableColumn id="11" name="Estado"/>
    <x:tableColumn id="12" name="I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d7481a8c5dc476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6ff8bbf627b45c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34b8d042bb3042a4" /><Relationship Type="http://schemas.openxmlformats.org/officeDocument/2006/relationships/table" Target="/xl/tables/table2.xml" Id="R5f92bd661908423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65790e2480984c7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eea4b2f248614ea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6e96e870eae2490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2c977073c5d846ba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3" hidden="0" customWidth="1"/>
    <x:col min="4" max="4" width="20" hidden="0" customWidth="1"/>
    <x:col min="5" max="5" width="12" hidden="0" customWidth="1"/>
    <x:col min="6" max="6" width="3" hidden="0" customWidth="1"/>
    <x:col min="7" max="7" width="24" hidden="0" customWidth="1"/>
    <x:col min="8" max="8" width="12" hidden="0" customWidth="1"/>
    <x:col min="9" max="9" width="3" hidden="0" customWidth="1"/>
    <x:col min="10" max="10" width="18" hidden="0" customWidth="1"/>
  </x:cols>
  <x:sheetData>
    <x:row r="1" ht="30" customHeight="1">
      <x:c r="A1" s="5" t="str">
        <x:v>Panel de calidad y cobertura de fuentes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4" customHeight="1">
      <x:c r="A2" s="85" t="str">
        <x:v>Resumen automático de la matriz. Se incorporaron 13 fuentes propuestas el 26/08/2026; sus valoraciones quedan pendientes de revisión editorial.</x:v>
      </x:c>
      <x:c r="B2" s="85"/>
      <x:c r="C2" s="85"/>
      <x:c r="D2" s="85"/>
      <x:c r="E2" s="85"/>
      <x:c r="F2" s="85"/>
      <x:c r="G2" s="85"/>
      <x:c r="H2" s="85"/>
      <x:c r="I2" s="85"/>
      <x:c r="J2" s="85"/>
    </x:row>
    <x:row r="4">
      <x:c r="A4" s="98" t="str">
        <x:v>Indicador</x:v>
      </x:c>
      <x:c r="B4" s="99" t="str">
        <x:v>Valor</x:v>
      </x:c>
      <x:c r="D4" s="112" t="str">
        <x:v>Nivel de confianza</x:v>
      </x:c>
      <x:c r="E4" s="112" t="str">
        <x:v>Cantidad</x:v>
      </x:c>
      <x:c r="G4" s="124" t="str">
        <x:v>Estado</x:v>
      </x:c>
      <x:c r="H4" s="124" t="str">
        <x:v>Cantidad</x:v>
      </x:c>
    </x:row>
    <x:row r="5">
      <x:c r="A5" s="100" t="str">
        <x:v>Total de fuentes</x:v>
      </x:c>
      <x:c r="B5" s="101" t="n">
        <x:v>106</x:v>
      </x:c>
      <x:c r="D5" s="117" t="str">
        <x:v>Alta</x:v>
      </x:c>
      <x:c r="E5" s="120" t="n">
        <x:f>COUNTIF('Matriz profesional'!T5:T96,"Alta")</x:f>
        <x:v>34</x:v>
      </x:c>
      <x:c r="G5" s="129" t="str">
        <x:v>Activo</x:v>
      </x:c>
      <x:c r="H5" s="120" t="n">
        <x:f>COUNTIF('Matriz profesional'!X5:X96,"Activo")</x:f>
        <x:v>37</x:v>
      </x:c>
    </x:row>
    <x:row r="6">
      <x:c r="A6" s="100" t="str">
        <x:v>Puntuación media</x:v>
      </x:c>
      <x:c r="B6" s="305" t="n">
        <x:f>ROUND(AVERAGE('Matriz profesional'!S5:S96),1)</x:f>
        <x:v>4</x:v>
      </x:c>
      <x:c r="D6" s="117" t="str">
        <x:v>Media-alta</x:v>
      </x:c>
      <x:c r="E6" s="120" t="n">
        <x:v>47</x:v>
      </x:c>
      <x:c r="G6" s="129" t="str">
        <x:v>Nuevo recomendado</x:v>
      </x:c>
      <x:c r="H6" s="120" t="n">
        <x:v>42</x:v>
      </x:c>
    </x:row>
    <x:row r="7">
      <x:c r="A7" s="100" t="str">
        <x:v>Fuentes activas</x:v>
      </x:c>
      <x:c r="B7" s="101" t="n">
        <x:f>COUNTIF('Matriz profesional'!X5:X96,"Activo")</x:f>
        <x:v>37</x:v>
      </x:c>
      <x:c r="D7" s="117" t="str">
        <x:v>Media</x:v>
      </x:c>
      <x:c r="E7" s="120" t="n">
        <x:f>COUNTIF('Matriz profesional'!T5:T96,"Media")</x:f>
        <x:v>9</x:v>
      </x:c>
      <x:c r="G7" s="129" t="str">
        <x:v>Uso condicionado</x:v>
      </x:c>
      <x:c r="H7" s="120" t="n">
        <x:f>COUNTIF('Matriz profesional'!X5:X96,"Uso condicionado")</x:f>
        <x:v>12</x:v>
      </x:c>
    </x:row>
    <x:row r="8">
      <x:c r="A8" s="100" t="str">
        <x:v>Nuevas recomendadas</x:v>
      </x:c>
      <x:c r="B8" s="101" t="n">
        <x:f>COUNTIF('Matriz profesional'!X5:X96,"Nuevo recomendado")</x:f>
        <x:v>41</x:v>
      </x:c>
      <x:c r="D8" s="117" t="str">
        <x:v>Baja</x:v>
      </x:c>
      <x:c r="E8" s="120" t="n">
        <x:f>COUNTIF('Matriz profesional'!T5:T96,"Baja")</x:f>
        <x:v>3</x:v>
      </x:c>
      <x:c r="G8" s="129" t="str">
        <x:v>Secundario</x:v>
      </x:c>
      <x:c r="H8" s="120" t="n">
        <x:f>COUNTIF('Matriz profesional'!X5:X96,"Secundario")</x:f>
        <x:v>2</x:v>
      </x:c>
    </x:row>
    <x:row r="9">
      <x:c r="A9" s="100" t="str">
        <x:v>Uso condicionado</x:v>
      </x:c>
      <x:c r="B9" s="101" t="n">
        <x:f>COUNTIF('Matriz profesional'!X5:X96,"Uso condicionado")</x:f>
        <x:v>12</x:v>
      </x:c>
      <x:c r="D9" s="117" t="str">
        <x:v>Muy baja</x:v>
      </x:c>
      <x:c r="E9" s="120" t="n">
        <x:f>COUNTIF('Matriz profesional'!T5:T96,"Muy baja")</x:f>
        <x:v>0</x:v>
      </x:c>
      <x:c r="G9" s="129" t="str">
        <x:v>Excluir</x:v>
      </x:c>
      <x:c r="H9" s="120" t="n">
        <x:f>COUNTIF('Matriz profesional'!X5:X96,"Excluir")</x:f>
        <x:v>0</x:v>
      </x:c>
    </x:row>
    <x:row r="10">
      <x:c r="A10" s="100" t="str">
        <x:v>Fuentes secundarias</x:v>
      </x:c>
      <x:c r="B10" s="101" t="n">
        <x:f>COUNTIF('Matriz profesional'!X5:X96,"Secundario")</x:f>
        <x:v>2</x:v>
      </x:c>
      <x:c r="D10" t="str">
        <x:v>Por revisar</x:v>
      </x:c>
      <x:c r="E10" t="n">
        <x:v>13</x:v>
      </x:c>
      <x:c r="G10" t="str">
        <x:v>Propuesto</x:v>
      </x:c>
      <x:c r="H10" t="n">
        <x:v>13</x:v>
      </x:c>
    </x:row>
    <x:row r="11">
      <x:c r="A11" s="102" t="str">
        <x:v>Excluir</x:v>
      </x:c>
      <x:c r="B11" s="103" t="n">
        <x:f>COUNTIF('Matriz profesional'!X5:X96,"Excluir")</x:f>
        <x:v>0</x:v>
      </x:c>
    </x:row>
    <x:row r="12">
      <x:c r="A12" s="316" t="str">
        <x:v>Fuentes con foco africano</x:v>
      </x:c>
      <x:c r="B12" s="95" t="n">
        <x:f>'Cobertura África'!B11</x:f>
        <x:v>20</x:v>
      </x:c>
    </x:row>
    <x:row r="14">
      <x:c r="A14" s="293"/>
      <x:c r="B14" s="293"/>
      <x:c r="C14" s="293"/>
      <x:c r="D14" s="293"/>
      <x:c r="E14" s="293"/>
      <x:c r="F14" s="293"/>
      <x:c r="G14" s="293"/>
      <x:c r="H14" s="293"/>
      <x:c r="I14" s="293"/>
      <x:c r="J14" s="293"/>
    </x:row>
    <x:row r="15" ht="34" customHeight="1">
      <x:c r="A15" s="294"/>
      <x:c r="B15" s="295"/>
      <x:c r="C15" s="295"/>
      <x:c r="D15" s="295"/>
      <x:c r="E15" s="295"/>
      <x:c r="F15" s="295"/>
      <x:c r="G15" s="295"/>
      <x:c r="H15" s="295"/>
      <x:c r="I15" s="295"/>
      <x:c r="J15" s="295"/>
    </x:row>
    <x:row r="16" ht="34" customHeight="1">
      <x:c r="A16" s="294"/>
      <x:c r="B16" s="295"/>
      <x:c r="C16" s="295"/>
      <x:c r="D16" s="295"/>
      <x:c r="E16" s="295"/>
      <x:c r="F16" s="295"/>
      <x:c r="G16" s="295"/>
      <x:c r="H16" s="295"/>
      <x:c r="I16" s="295"/>
      <x:c r="J16" s="295"/>
    </x:row>
    <x:row r="17" ht="34" customHeight="1">
      <x:c r="A17" s="294"/>
      <x:c r="B17" s="295"/>
      <x:c r="C17" s="295"/>
      <x:c r="D17" s="295"/>
      <x:c r="E17" s="295"/>
      <x:c r="F17" s="295"/>
      <x:c r="G17" s="295"/>
      <x:c r="H17" s="295"/>
      <x:c r="I17" s="295"/>
      <x:c r="J17" s="295"/>
    </x:row>
    <x:row r="18" ht="34" customHeight="1">
      <x:c r="A18" s="294"/>
      <x:c r="B18" s="295"/>
      <x:c r="C18" s="295"/>
      <x:c r="D18" s="295"/>
      <x:c r="E18" s="295"/>
      <x:c r="F18" s="295"/>
      <x:c r="G18" s="295"/>
      <x:c r="H18" s="295"/>
      <x:c r="I18" s="295"/>
      <x:c r="J18" s="295"/>
    </x:row>
    <x:row r="19" ht="34" customHeight="1">
      <x:c r="A19" s="294"/>
      <x:c r="B19" s="295"/>
      <x:c r="C19" s="295"/>
      <x:c r="D19" s="295"/>
      <x:c r="E19" s="295"/>
      <x:c r="F19" s="295"/>
      <x:c r="G19" s="295"/>
      <x:c r="H19" s="295"/>
      <x:c r="I19" s="295"/>
      <x:c r="J19" s="295"/>
    </x:row>
    <x:row r="29" ht="24" customHeight="1">
      <x:c r="A29" s="133" t="str">
        <x:v>Reglas de uso profesional</x:v>
      </x:c>
      <x:c r="B29" s="133"/>
      <x:c r="C29" s="133"/>
      <x:c r="D29" s="133"/>
      <x:c r="E29" s="133"/>
      <x:c r="F29" s="133"/>
      <x:c r="G29" s="133"/>
      <x:c r="H29" s="133"/>
      <x:c r="I29" s="133"/>
      <x:c r="J29" s="133"/>
    </x:row>
    <x:row r="30" ht="34" customHeight="1">
      <x:c r="A30" s="138" t="str">
        <x:v>1</x:v>
      </x:c>
      <x:c r="B30" s="147" t="str">
        <x:v>Una fuente estatal u oficial sirve para conocer su posición, no para verificarla de forma independiente.</x:v>
      </x:c>
      <x:c r="C30" s="147"/>
      <x:c r="D30" s="147"/>
      <x:c r="E30" s="147"/>
      <x:c r="F30" s="147"/>
      <x:c r="G30" s="147"/>
      <x:c r="H30" s="147"/>
      <x:c r="I30" s="147"/>
      <x:c r="J30" s="147"/>
    </x:row>
    <x:row r="31" ht="34" customHeight="1">
      <x:c r="A31" s="138" t="str">
        <x:v>2</x:v>
      </x:c>
      <x:c r="B31" s="147" t="str">
        <x:v>Las afirmaciones sobre operaciones militares, bajas, inteligencia o atribución requieren triangulación.</x:v>
      </x:c>
      <x:c r="C31" s="147"/>
      <x:c r="D31" s="147"/>
      <x:c r="E31" s="147"/>
      <x:c r="F31" s="147"/>
      <x:c r="G31" s="147"/>
      <x:c r="H31" s="147"/>
      <x:c r="I31" s="147"/>
      <x:c r="J31" s="147"/>
    </x:row>
    <x:row r="32" ht="34" customHeight="1">
      <x:c r="A32" s="138" t="str">
        <x:v>3</x:v>
      </x:c>
      <x:c r="B32" s="147" t="str">
        <x:v>Separar noticia, análisis, editorial, advocacy, datos y comunicación institucional.</x:v>
      </x:c>
      <x:c r="C32" s="147"/>
      <x:c r="D32" s="147"/>
      <x:c r="E32" s="147"/>
      <x:c r="F32" s="147"/>
      <x:c r="G32" s="147"/>
      <x:c r="H32" s="147"/>
      <x:c r="I32" s="147"/>
      <x:c r="J32" s="147"/>
    </x:row>
    <x:row r="33" ht="34" customHeight="1">
      <x:c r="A33" s="138" t="str">
        <x:v>4</x:v>
      </x:c>
      <x:c r="B33" s="147" t="str">
        <x:v>Priorizar evidencia primaria y usar al menos dos fuentes independientes para hechos controvertidos.</x:v>
      </x:c>
      <x:c r="C33" s="147"/>
      <x:c r="D33" s="147"/>
      <x:c r="E33" s="147"/>
      <x:c r="F33" s="147"/>
      <x:c r="G33" s="147"/>
      <x:c r="H33" s="147"/>
      <x:c r="I33" s="147"/>
      <x:c r="J33" s="147"/>
    </x:row>
    <x:row r="34" ht="34" customHeight="1">
      <x:c r="A34" s="138" t="str">
        <x:v>5</x:v>
      </x:c>
      <x:c r="B34" s="148" t="str">
        <x:v>Revisar propiedad, financiación, políticas de corrección y desempeño editorial cada seis meses.</x:v>
      </x:c>
      <x:c r="C34" s="148"/>
      <x:c r="D34" s="148"/>
      <x:c r="E34" s="148"/>
      <x:c r="F34" s="148"/>
      <x:c r="G34" s="148"/>
      <x:c r="H34" s="148"/>
      <x:c r="I34" s="148"/>
      <x:c r="J34" s="148"/>
    </x:row>
  </x:sheetData>
  <x:mergeCells>
    <x:mergeCell ref="A1:J1"/>
    <x:mergeCell ref="A2:J2"/>
    <x:mergeCell ref="A29:J29"/>
    <x:mergeCell ref="B30:J30"/>
    <x:mergeCell ref="B31:J31"/>
    <x:mergeCell ref="B32:J32"/>
    <x:mergeCell ref="B33:J33"/>
    <x:mergeCell ref="B34:J34"/>
  </x:mergeCells>
  <x:pageMargins left="0.7" right="0.7" top="0.75" bottom="0.75" header="0.3" footer="0.3"/>
  <x:drawing xmlns:r="http://schemas.openxmlformats.org/officeDocument/2006/relationships" r:id="R4d7481a8c5dc4762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8" hidden="0" customWidth="1"/>
    <x:col min="3" max="3" width="34" hidden="0" customWidth="1"/>
    <x:col min="4" max="4" width="27" hidden="0" customWidth="1"/>
    <x:col min="5" max="5" width="18" hidden="0" customWidth="1"/>
    <x:col min="6" max="6" width="19" hidden="0" customWidth="1"/>
    <x:col min="7" max="7" width="22" hidden="0" customWidth="1"/>
    <x:col min="8" max="8" width="27" hidden="0" customWidth="1"/>
    <x:col min="9" max="9" width="28" hidden="0" customWidth="1"/>
    <x:col min="10" max="10" width="18" hidden="0" customWidth="1"/>
    <x:col min="11" max="11" width="22" hidden="0" customWidth="1"/>
    <x:col min="12" max="12" width="25" hidden="0" customWidth="1"/>
    <x:col min="13" max="13" width="13" hidden="0" customWidth="1"/>
    <x:col min="14" max="14" width="14" hidden="0" customWidth="1"/>
    <x:col min="15" max="15" width="13" hidden="0" customWidth="1"/>
    <x:col min="16" max="16" width="13" hidden="0" customWidth="1"/>
    <x:col min="17" max="17" width="14" hidden="0" customWidth="1"/>
    <x:col min="18" max="18" width="15" hidden="0" customWidth="1"/>
    <x:col min="19" max="19" width="12" hidden="0" customWidth="1"/>
    <x:col min="20" max="20" width="15" hidden="0" customWidth="1"/>
    <x:col min="21" max="21" width="31" hidden="0" customWidth="1"/>
    <x:col min="22" max="22" width="22" hidden="0" customWidth="1"/>
    <x:col min="23" max="23" width="33" hidden="0" customWidth="1"/>
    <x:col min="24" max="24" width="18" hidden="0" customWidth="1"/>
    <x:col min="25" max="25" width="42" hidden="0" customWidth="1"/>
    <x:col min="26" max="26" width="38" hidden="0" customWidth="1"/>
    <x:col min="27" max="27" width="15" hidden="0" customWidth="1"/>
  </x:cols>
  <x:sheetData>
    <x:row r="1" ht="30" customHeight="1">
      <x:c r="A1" s="5" t="str">
        <x:v>Matriz profesional de fuentes para análisis geopolítico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</x:row>
    <x:row r="2" ht="36" customHeight="1">
      <x:c r="A2" s="14" t="str">
        <x:v>Evaluación preliminar y contextual: la puntuación no sustituye la triangulación. Las fuentes oficiales y estatales pueden ser valiosas como fuentes primarias, pero no como verificación independiente.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  <x:c r="AA2" s="14"/>
    </x:row>
    <x:row r="4" ht="52" customHeight="1">
      <x:c r="A4" s="31" t="str">
        <x:v>ID</x:v>
      </x:c>
      <x:c r="B4" s="32" t="str">
        <x:v>Nombre</x:v>
      </x:c>
      <x:c r="C4" s="32" t="str">
        <x:v>URL</x:v>
      </x:c>
      <x:c r="D4" s="32" t="str">
        <x:v>Sede / alcance institucional</x:v>
      </x:c>
      <x:c r="E4" s="32" t="str">
        <x:v>Región principal</x:v>
      </x:c>
      <x:c r="F4" s="32" t="str">
        <x:v>Idioma / edición</x:v>
      </x:c>
      <x:c r="G4" s="32" t="str">
        <x:v>Familia de fuente</x:v>
      </x:c>
      <x:c r="H4" s="32" t="str">
        <x:v>Función epistemológica</x:v>
      </x:c>
      <x:c r="I4" s="32" t="str">
        <x:v>Propiedad / financiación</x:v>
      </x:c>
      <x:c r="J4" s="32" t="str">
        <x:v>Tipo de control</x:v>
      </x:c>
      <x:c r="K4" s="32" t="str">
        <x:v>Orientación editorial</x:v>
      </x:c>
      <x:c r="L4" s="32" t="str">
        <x:v>Perspectiva geopolítica</x:v>
      </x:c>
      <x:c r="M4" s="32" t="str">
        <x:v>Fiabilidad factual (1-5)</x:v>
      </x:c>
      <x:c r="N4" s="32" t="str">
        <x:v>Independencia editorial (1-5)</x:v>
      </x:c>
      <x:c r="O4" s="32" t="str">
        <x:v>Transparencia (1-5)</x:v>
      </x:c>
      <x:c r="P4" s="32" t="str">
        <x:v>Rigor metodológico (1-5)</x:v>
      </x:c>
      <x:c r="Q4" s="32" t="str">
        <x:v>Política de correcciones (1-5)</x:v>
      </x:c>
      <x:c r="R4" s="32" t="str">
        <x:v>Separación noticia/opinión (1-5)</x:v>
      </x:c>
      <x:c r="S4" s="32" t="str">
        <x:v>Puntuación global</x:v>
      </x:c>
      <x:c r="T4" s="32" t="str">
        <x:v>Nivel de confianza</x:v>
      </x:c>
      <x:c r="U4" s="32" t="str">
        <x:v>Uso analítico recomendado</x:v>
      </x:c>
      <x:c r="V4" s="32" t="str">
        <x:v>Corroboración requerida</x:v>
      </x:c>
      <x:c r="W4" s="32" t="str">
        <x:v>Corroborar con</x:v>
      </x:c>
      <x:c r="X4" s="32" t="str">
        <x:v>Estado</x:v>
      </x:c>
      <x:c r="Y4" s="32" t="str">
        <x:v>Observaciones</x:v>
      </x:c>
      <x:c r="Z4" s="32" t="str">
        <x:v>Referencia institucional</x:v>
      </x:c>
      <x:c r="AA4" s="33" t="str">
        <x:v>Fecha de revisión</x:v>
      </x:c>
      <x:c r="AB4" t="str">
        <x:v>Media ID estable</x:v>
      </x:c>
    </x:row>
    <x:row r="5">
      <x:c r="A5" s="60" t="n">
        <x:v>1</x:v>
      </x:c>
      <x:c r="B5" s="72" t="str">
        <x:v>Axios</x:v>
      </x:c>
      <x:c r="C5" s="76" t="str">
        <x:v>https://www.axios.com/</x:v>
      </x:c>
      <x:c r="D5" s="52" t="str">
        <x:v>Estados Unidos</x:v>
      </x:c>
      <x:c r="E5" s="52" t="str">
        <x:v>Occidente</x:v>
      </x:c>
      <x:c r="F5" s="52" t="str">
        <x:v>Inglés</x:v>
      </x:c>
      <x:c r="G5" s="52" t="str">
        <x:v>Medio generalista</x:v>
      </x:c>
      <x:c r="H5" s="52" t="str">
        <x:v>Noticias y explicación breve</x:v>
      </x:c>
      <x:c r="I5" s="52" t="str">
        <x:v>Privado comercial</x:v>
      </x:c>
      <x:c r="J5" s="52" t="str">
        <x:v>Privado</x:v>
      </x:c>
      <x:c r="K5" s="52" t="str">
        <x:v>Centro</x:v>
      </x:c>
      <x:c r="L5" s="52" t="str">
        <x:v>Estadounidense / política pública</x:v>
      </x:c>
      <x:c r="M5" s="60" t="n">
        <x:v>4</x:v>
      </x:c>
      <x:c r="N5" s="60" t="n">
        <x:v>4</x:v>
      </x:c>
      <x:c r="O5" s="60" t="n">
        <x:v>4</x:v>
      </x:c>
      <x:c r="P5" s="60" t="n">
        <x:v>4</x:v>
      </x:c>
      <x:c r="Q5" s="60" t="n">
        <x:v>4</x:v>
      </x:c>
      <x:c r="R5" s="60" t="n">
        <x:v>4</x:v>
      </x:c>
      <x:c r="S5" s="68" t="n">
        <x:f>ROUND(AVERAGE(M5:R5),1)</x:f>
        <x:v>4</x:v>
      </x:c>
      <x:c r="T5" s="60" t="str">
        <x:f>IF(S5&gt;=4.3,"Alta",IF(S5&gt;=3.5,"Media-alta",IF(S5&gt;=2.7,"Media",IF(S5&gt;=2,"Baja","Muy baja"))))</x:f>
        <x:v>Media-alta</x:v>
      </x:c>
      <x:c r="U5" s="52" t="str">
        <x:v>Seguimiento rápido de política estadounidense</x:v>
      </x:c>
      <x:c r="V5" s="52" t="str">
        <x:v>Moderada</x:v>
      </x:c>
      <x:c r="W5" s="52" t="str">
        <x:v>Reuters, AP y documentos oficiales</x:v>
      </x:c>
      <x:c r="X5" s="52" t="str">
        <x:v>Activo</x:v>
      </x:c>
      <x:c r="Y5" s="52" t="str">
        <x:v>Útil para velocidad y síntesis; verificar primicias de alto impacto.</x:v>
      </x:c>
      <x:c r="Z5" s="80" t="str">
        <x:v>https://www.axios.com/</x:v>
      </x:c>
      <x:c r="AA5" s="64" t="n">
        <x:v>46219</x:v>
      </x:c>
    </x:row>
    <x:row r="6">
      <x:c r="A6" s="60" t="n">
        <x:v>2</x:v>
      </x:c>
      <x:c r="B6" s="72" t="str">
        <x:v>BBC News</x:v>
      </x:c>
      <x:c r="C6" s="76" t="str">
        <x:v>https://www.bbc.com/news</x:v>
      </x:c>
      <x:c r="D6" s="52" t="str">
        <x:v>Reino Unido; alcance global</x:v>
      </x:c>
      <x:c r="E6" s="52" t="str">
        <x:v>Global/Occidente</x:v>
      </x:c>
      <x:c r="F6" s="52" t="str">
        <x:v>Inglés y servicios internacionales</x:v>
      </x:c>
      <x:c r="G6" s="52" t="str">
        <x:v>Radiodifusor público</x:v>
      </x:c>
      <x:c r="H6" s="52" t="str">
        <x:v>Noticias generales y contexto</x:v>
      </x:c>
      <x:c r="I6" s="52" t="str">
        <x:v>Financiación pública bajo carta y gobernanza propias</x:v>
      </x:c>
      <x:c r="J6" s="52" t="str">
        <x:v>Público</x:v>
      </x:c>
      <x:c r="K6" s="52" t="str">
        <x:v>Centro</x:v>
      </x:c>
      <x:c r="L6" s="52" t="str">
        <x:v>Británica / internacionalista</x:v>
      </x:c>
      <x:c r="M6" s="60" t="n">
        <x:v>5</x:v>
      </x:c>
      <x:c r="N6" s="60" t="n">
        <x:v>4</x:v>
      </x:c>
      <x:c r="O6" s="60" t="n">
        <x:v>5</x:v>
      </x:c>
      <x:c r="P6" s="60" t="n">
        <x:v>5</x:v>
      </x:c>
      <x:c r="Q6" s="60" t="n">
        <x:v>5</x:v>
      </x:c>
      <x:c r="R6" s="60" t="n">
        <x:v>5</x:v>
      </x:c>
      <x:c r="S6" s="68" t="n">
        <x:f>ROUND(AVERAGE(M6:R6),1)</x:f>
        <x:v>4.8</x:v>
      </x:c>
      <x:c r="T6" s="60" t="str">
        <x:f>IF(S6&gt;=4.3,"Alta",IF(S6&gt;=3.5,"Media-alta",IF(S6&gt;=2.7,"Media",IF(S6&gt;=2,"Baja","Muy baja"))))</x:f>
        <x:v>Alta</x:v>
      </x:c>
      <x:c r="U6" s="52" t="str">
        <x:v>Confirmación factual y contexto internacional</x:v>
      </x:c>
      <x:c r="V6" s="52" t="str">
        <x:v>Baja a moderada</x:v>
      </x:c>
      <x:c r="W6" s="52" t="str">
        <x:v>Reuters, AP y fuentes locales</x:v>
      </x:c>
      <x:c r="X6" s="52" t="str">
        <x:v>Activo</x:v>
      </x:c>
      <x:c r="Y6" s="52" t="str">
        <x:v>Separar cobertura informativa de análisis y opinión.</x:v>
      </x:c>
      <x:c r="Z6" s="80" t="str">
        <x:v>https://www.bbc.com/aboutthebbc/governance/charter</x:v>
      </x:c>
      <x:c r="AA6" s="64" t="n">
        <x:v>46219</x:v>
      </x:c>
    </x:row>
    <x:row r="7">
      <x:c r="A7" s="60" t="n">
        <x:v>3</x:v>
      </x:c>
      <x:c r="B7" s="72" t="str">
        <x:v>El País</x:v>
      </x:c>
      <x:c r="C7" s="76" t="str">
        <x:v>https://elpais.com/</x:v>
      </x:c>
      <x:c r="D7" s="52" t="str">
        <x:v>España</x:v>
      </x:c>
      <x:c r="E7" s="52" t="str">
        <x:v>Occidente/América Latina</x:v>
      </x:c>
      <x:c r="F7" s="52" t="str">
        <x:v>Español</x:v>
      </x:c>
      <x:c r="G7" s="52" t="str">
        <x:v>Medio generalista</x:v>
      </x:c>
      <x:c r="H7" s="52" t="str">
        <x:v>Noticias, análisis y opinión</x:v>
      </x:c>
      <x:c r="I7" s="52" t="str">
        <x:v>Privado comercial</x:v>
      </x:c>
      <x:c r="J7" s="52" t="str">
        <x:v>Privado</x:v>
      </x:c>
      <x:c r="K7" s="52" t="str">
        <x:v>Centro-izquierda liberal</x:v>
      </x:c>
      <x:c r="L7" s="52" t="str">
        <x:v>Europeísta / iberoamericana</x:v>
      </x:c>
      <x:c r="M7" s="60" t="n">
        <x:v>4</x:v>
      </x:c>
      <x:c r="N7" s="60" t="n">
        <x:v>4</x:v>
      </x:c>
      <x:c r="O7" s="60" t="n">
        <x:v>4</x:v>
      </x:c>
      <x:c r="P7" s="60" t="n">
        <x:v>4</x:v>
      </x:c>
      <x:c r="Q7" s="60" t="n">
        <x:v>4</x:v>
      </x:c>
      <x:c r="R7" s="60" t="n">
        <x:v>4</x:v>
      </x:c>
      <x:c r="S7" s="68" t="n">
        <x:f>ROUND(AVERAGE(M7:R7),1)</x:f>
        <x:v>4</x:v>
      </x:c>
      <x:c r="T7" s="60" t="str">
        <x:f>IF(S7&gt;=4.3,"Alta",IF(S7&gt;=3.5,"Media-alta",IF(S7&gt;=2.7,"Media",IF(S7&gt;=2,"Baja","Muy baja"))))</x:f>
        <x:v>Media-alta</x:v>
      </x:c>
      <x:c r="U7" s="52" t="str">
        <x:v>Cobertura europea y latinoamericana</x:v>
      </x:c>
      <x:c r="V7" s="52" t="str">
        <x:v>Moderada</x:v>
      </x:c>
      <x:c r="W7" s="52" t="str">
        <x:v>Agencias y medios locales</x:v>
      </x:c>
      <x:c r="X7" s="52" t="str">
        <x:v>Activo</x:v>
      </x:c>
      <x:c r="Y7" s="52" t="str"/>
      <x:c r="Z7" s="80" t="str">
        <x:v>https://elpais.com/</x:v>
      </x:c>
      <x:c r="AA7" s="64" t="n">
        <x:v>46219</x:v>
      </x:c>
    </x:row>
    <x:row r="8">
      <x:c r="A8" s="60" t="n">
        <x:v>4</x:v>
      </x:c>
      <x:c r="B8" s="72" t="str">
        <x:v>La Nación (Argentina)</x:v>
      </x:c>
      <x:c r="C8" s="76" t="str">
        <x:v>https://www.lanacion.com.ar/</x:v>
      </x:c>
      <x:c r="D8" s="52" t="str">
        <x:v>Argentina</x:v>
      </x:c>
      <x:c r="E8" s="52" t="str">
        <x:v>América Latina</x:v>
      </x:c>
      <x:c r="F8" s="52" t="str">
        <x:v>Español</x:v>
      </x:c>
      <x:c r="G8" s="52" t="str">
        <x:v>Medio generalista</x:v>
      </x:c>
      <x:c r="H8" s="52" t="str">
        <x:v>Noticias, análisis y opinión</x:v>
      </x:c>
      <x:c r="I8" s="52" t="str">
        <x:v>Privado comercial</x:v>
      </x:c>
      <x:c r="J8" s="52" t="str">
        <x:v>Privado</x:v>
      </x:c>
      <x:c r="K8" s="52" t="str">
        <x:v>Centro-derecha</x:v>
      </x:c>
      <x:c r="L8" s="52" t="str">
        <x:v>Argentina / liberal-conservadora</x:v>
      </x:c>
      <x:c r="M8" s="60" t="n">
        <x:v>4</x:v>
      </x:c>
      <x:c r="N8" s="60" t="n">
        <x:v>4</x:v>
      </x:c>
      <x:c r="O8" s="60" t="n">
        <x:v>4</x:v>
      </x:c>
      <x:c r="P8" s="60" t="n">
        <x:v>4</x:v>
      </x:c>
      <x:c r="Q8" s="60" t="n">
        <x:v>4</x:v>
      </x:c>
      <x:c r="R8" s="60" t="n">
        <x:v>4</x:v>
      </x:c>
      <x:c r="S8" s="68" t="n">
        <x:f>ROUND(AVERAGE(M8:R8),1)</x:f>
        <x:v>4</x:v>
      </x:c>
      <x:c r="T8" s="60" t="str">
        <x:f>IF(S8&gt;=4.3,"Alta",IF(S8&gt;=3.5,"Media-alta",IF(S8&gt;=2.7,"Media",IF(S8&gt;=2,"Baja","Muy baja"))))</x:f>
        <x:v>Media-alta</x:v>
      </x:c>
      <x:c r="U8" s="52" t="str">
        <x:v>Argentina y Cono Sur</x:v>
      </x:c>
      <x:c r="V8" s="52" t="str">
        <x:v>Moderada</x:v>
      </x:c>
      <x:c r="W8" s="52" t="str">
        <x:v>Reuters, AP y medios regionales</x:v>
      </x:c>
      <x:c r="X8" s="52" t="str">
        <x:v>Activo</x:v>
      </x:c>
      <x:c r="Y8" s="52" t="str"/>
      <x:c r="Z8" s="80" t="str">
        <x:v>https://www.lanacion.com.ar/</x:v>
      </x:c>
      <x:c r="AA8" s="64" t="n">
        <x:v>46219</x:v>
      </x:c>
    </x:row>
    <x:row r="9">
      <x:c r="A9" s="60" t="n">
        <x:v>5</x:v>
      </x:c>
      <x:c r="B9" s="72" t="str">
        <x:v>La Vanguardia</x:v>
      </x:c>
      <x:c r="C9" s="76" t="str">
        <x:v>https://www.lavanguardia.com/</x:v>
      </x:c>
      <x:c r="D9" s="52" t="str">
        <x:v>España</x:v>
      </x:c>
      <x:c r="E9" s="52" t="str">
        <x:v>Occidente</x:v>
      </x:c>
      <x:c r="F9" s="52" t="str">
        <x:v>Español</x:v>
      </x:c>
      <x:c r="G9" s="52" t="str">
        <x:v>Medio generalista</x:v>
      </x:c>
      <x:c r="H9" s="52" t="str">
        <x:v>Noticias y análisis</x:v>
      </x:c>
      <x:c r="I9" s="52" t="str">
        <x:v>Privado comercial</x:v>
      </x:c>
      <x:c r="J9" s="52" t="str">
        <x:v>Privado</x:v>
      </x:c>
      <x:c r="K9" s="52" t="str">
        <x:v>Centro liberal</x:v>
      </x:c>
      <x:c r="L9" s="52" t="str">
        <x:v>España / Europa</x:v>
      </x:c>
      <x:c r="M9" s="60" t="n">
        <x:v>4</x:v>
      </x:c>
      <x:c r="N9" s="60" t="n">
        <x:v>4</x:v>
      </x:c>
      <x:c r="O9" s="60" t="n">
        <x:v>4</x:v>
      </x:c>
      <x:c r="P9" s="60" t="n">
        <x:v>4</x:v>
      </x:c>
      <x:c r="Q9" s="60" t="n">
        <x:v>4</x:v>
      </x:c>
      <x:c r="R9" s="60" t="n">
        <x:v>4</x:v>
      </x:c>
      <x:c r="S9" s="68" t="n">
        <x:f>ROUND(AVERAGE(M9:R9),1)</x:f>
        <x:v>4</x:v>
      </x:c>
      <x:c r="T9" s="60" t="str">
        <x:f>IF(S9&gt;=4.3,"Alta",IF(S9&gt;=3.5,"Media-alta",IF(S9&gt;=2.7,"Media",IF(S9&gt;=2,"Baja","Muy baja"))))</x:f>
        <x:v>Media-alta</x:v>
      </x:c>
      <x:c r="U9" s="52" t="str">
        <x:v>España, Europa y contexto internacional</x:v>
      </x:c>
      <x:c r="V9" s="52" t="str">
        <x:v>Moderada</x:v>
      </x:c>
      <x:c r="W9" s="52" t="str">
        <x:v>Agencias y prensa internacional</x:v>
      </x:c>
      <x:c r="X9" s="52" t="str">
        <x:v>Activo</x:v>
      </x:c>
      <x:c r="Y9" s="52" t="str"/>
      <x:c r="Z9" s="80" t="str">
        <x:v>https://www.lavanguardia.com/</x:v>
      </x:c>
      <x:c r="AA9" s="64" t="n">
        <x:v>46219</x:v>
      </x:c>
    </x:row>
    <x:row r="10">
      <x:c r="A10" s="60" t="n">
        <x:v>6</x:v>
      </x:c>
      <x:c r="B10" s="72" t="str">
        <x:v>NBC News</x:v>
      </x:c>
      <x:c r="C10" s="76" t="str">
        <x:v>https://www.nbcnews.com/</x:v>
      </x:c>
      <x:c r="D10" s="52" t="str">
        <x:v>Estados Unidos</x:v>
      </x:c>
      <x:c r="E10" s="52" t="str">
        <x:v>Occidente</x:v>
      </x:c>
      <x:c r="F10" s="52" t="str">
        <x:v>Inglés</x:v>
      </x:c>
      <x:c r="G10" s="52" t="str">
        <x:v>Televisión y medio digital</x:v>
      </x:c>
      <x:c r="H10" s="52" t="str">
        <x:v>Noticias generales</x:v>
      </x:c>
      <x:c r="I10" s="52" t="str">
        <x:v>Privado comercial</x:v>
      </x:c>
      <x:c r="J10" s="52" t="str">
        <x:v>Privado</x:v>
      </x:c>
      <x:c r="K10" s="52" t="str">
        <x:v>Centro-izquierda</x:v>
      </x:c>
      <x:c r="L10" s="52" t="str">
        <x:v>Estadounidense</x:v>
      </x:c>
      <x:c r="M10" s="60" t="n">
        <x:v>4</x:v>
      </x:c>
      <x:c r="N10" s="60" t="n">
        <x:v>4</x:v>
      </x:c>
      <x:c r="O10" s="60" t="n">
        <x:v>4</x:v>
      </x:c>
      <x:c r="P10" s="60" t="n">
        <x:v>4</x:v>
      </x:c>
      <x:c r="Q10" s="60" t="n">
        <x:v>4</x:v>
      </x:c>
      <x:c r="R10" s="60" t="n">
        <x:v>4</x:v>
      </x:c>
      <x:c r="S10" s="68" t="n">
        <x:f>ROUND(AVERAGE(M10:R10),1)</x:f>
        <x:v>4</x:v>
      </x:c>
      <x:c r="T10" s="60" t="str">
        <x:f>IF(S10&gt;=4.3,"Alta",IF(S10&gt;=3.5,"Media-alta",IF(S10&gt;=2.7,"Media",IF(S10&gt;=2,"Baja","Muy baja"))))</x:f>
        <x:v>Media-alta</x:v>
      </x:c>
      <x:c r="U10" s="52" t="str">
        <x:v>Política y sociedad de Estados Unidos</x:v>
      </x:c>
      <x:c r="V10" s="52" t="str">
        <x:v>Moderada</x:v>
      </x:c>
      <x:c r="W10" s="52" t="str">
        <x:v>AP, Reuters y documentos oficiales</x:v>
      </x:c>
      <x:c r="X10" s="52" t="str">
        <x:v>Activo</x:v>
      </x:c>
      <x:c r="Y10" s="52" t="str"/>
      <x:c r="Z10" s="80" t="str">
        <x:v>https://www.nbcnews.com/</x:v>
      </x:c>
      <x:c r="AA10" s="64" t="n">
        <x:v>46219</x:v>
      </x:c>
    </x:row>
    <x:row r="11">
      <x:c r="A11" s="60" t="n">
        <x:v>7</x:v>
      </x:c>
      <x:c r="B11" s="72" t="str">
        <x:v>Politico</x:v>
      </x:c>
      <x:c r="C11" s="76" t="str">
        <x:v>https://www.politico.com/</x:v>
      </x:c>
      <x:c r="D11" s="52" t="str">
        <x:v>Estados Unidos / Europa</x:v>
      </x:c>
      <x:c r="E11" s="52" t="str">
        <x:v>Occidente</x:v>
      </x:c>
      <x:c r="F11" s="52" t="str">
        <x:v>Inglés</x:v>
      </x:c>
      <x:c r="G11" s="52" t="str">
        <x:v>Medio especializado</x:v>
      </x:c>
      <x:c r="H11" s="52" t="str">
        <x:v>Política pública y poder institucional</x:v>
      </x:c>
      <x:c r="I11" s="52" t="str">
        <x:v>Privado comercial</x:v>
      </x:c>
      <x:c r="J11" s="52" t="str">
        <x:v>Privado</x:v>
      </x:c>
      <x:c r="K11" s="52" t="str">
        <x:v>Centro</x:v>
      </x:c>
      <x:c r="L11" s="52" t="str">
        <x:v>Transatlántica / institucional</x:v>
      </x:c>
      <x:c r="M11" s="60" t="n">
        <x:v>4</x:v>
      </x:c>
      <x:c r="N11" s="60" t="n">
        <x:v>4</x:v>
      </x:c>
      <x:c r="O11" s="60" t="n">
        <x:v>4</x:v>
      </x:c>
      <x:c r="P11" s="60" t="n">
        <x:v>4</x:v>
      </x:c>
      <x:c r="Q11" s="60" t="n">
        <x:v>4</x:v>
      </x:c>
      <x:c r="R11" s="60" t="n">
        <x:v>4</x:v>
      </x:c>
      <x:c r="S11" s="68" t="n">
        <x:f>ROUND(AVERAGE(M11:R11),1)</x:f>
        <x:v>4</x:v>
      </x:c>
      <x:c r="T11" s="60" t="str">
        <x:f>IF(S11&gt;=4.3,"Alta",IF(S11&gt;=3.5,"Media-alta",IF(S11&gt;=2.7,"Media",IF(S11&gt;=2,"Baja","Muy baja"))))</x:f>
        <x:v>Media-alta</x:v>
      </x:c>
      <x:c r="U11" s="52" t="str">
        <x:v>Política de EE. UU. y Unión Europea</x:v>
      </x:c>
      <x:c r="V11" s="52" t="str">
        <x:v>Moderada</x:v>
      </x:c>
      <x:c r="W11" s="52" t="str">
        <x:v>Documentos oficiales y agencias</x:v>
      </x:c>
      <x:c r="X11" s="52" t="str">
        <x:v>Activo</x:v>
      </x:c>
      <x:c r="Y11" s="52" t="str"/>
      <x:c r="Z11" s="80" t="str">
        <x:v>https://www.politico.com/</x:v>
      </x:c>
      <x:c r="AA11" s="64" t="n">
        <x:v>46219</x:v>
      </x:c>
    </x:row>
    <x:row r="12">
      <x:c r="A12" s="60" t="n">
        <x:v>8</x:v>
      </x:c>
      <x:c r="B12" s="72" t="str">
        <x:v>Reuters</x:v>
      </x:c>
      <x:c r="C12" s="76" t="str">
        <x:v>https://www.reuters.com/</x:v>
      </x:c>
      <x:c r="D12" s="52" t="str">
        <x:v>Reino Unido; red global</x:v>
      </x:c>
      <x:c r="E12" s="52" t="str">
        <x:v>Global</x:v>
      </x:c>
      <x:c r="F12" s="52" t="str">
        <x:v>Multilingüe</x:v>
      </x:c>
      <x:c r="G12" s="52" t="str">
        <x:v>Agencia de noticias</x:v>
      </x:c>
      <x:c r="H12" s="52" t="str">
        <x:v>Confirmación factual y noticias urgentes</x:v>
      </x:c>
      <x:c r="I12" s="52" t="str">
        <x:v>Privado comercial</x:v>
      </x:c>
      <x:c r="J12" s="52" t="str">
        <x:v>Privado</x:v>
      </x:c>
      <x:c r="K12" s="52" t="str">
        <x:v>Centro / baja carga editorial</x:v>
      </x:c>
      <x:c r="L12" s="52" t="str">
        <x:v>Global / mercados</x:v>
      </x:c>
      <x:c r="M12" s="60" t="n">
        <x:v>5</x:v>
      </x:c>
      <x:c r="N12" s="60" t="n">
        <x:v>5</x:v>
      </x:c>
      <x:c r="O12" s="60" t="n">
        <x:v>5</x:v>
      </x:c>
      <x:c r="P12" s="60" t="n">
        <x:v>5</x:v>
      </x:c>
      <x:c r="Q12" s="60" t="n">
        <x:v>5</x:v>
      </x:c>
      <x:c r="R12" s="60" t="n">
        <x:v>5</x:v>
      </x:c>
      <x:c r="S12" s="68" t="n">
        <x:f>ROUND(AVERAGE(M12:R12),1)</x:f>
        <x:v>5</x:v>
      </x:c>
      <x:c r="T12" s="60" t="str">
        <x:f>IF(S12&gt;=4.3,"Alta",IF(S12&gt;=3.5,"Media-alta",IF(S12&gt;=2.7,"Media",IF(S12&gt;=2,"Baja","Muy baja"))))</x:f>
        <x:v>Alta</x:v>
      </x:c>
      <x:c r="U12" s="52" t="str">
        <x:v>Fuente base para hechos y noticias urgentes</x:v>
      </x:c>
      <x:c r="V12" s="52" t="str">
        <x:v>Baja</x:v>
      </x:c>
      <x:c r="W12" s="52" t="str">
        <x:v>AP/AFP y fuentes primarias cuando el asunto sea crítico</x:v>
      </x:c>
      <x:c r="X12" s="52" t="str">
        <x:v>Activo</x:v>
      </x:c>
      <x:c r="Y12" s="52" t="str">
        <x:v>Referencia principal de la matriz para confirmación factual.</x:v>
      </x:c>
      <x:c r="Z12" s="80" t="str">
        <x:v>https://www.thomsonreuters.com/en/about-us/trust-principles.html</x:v>
      </x:c>
      <x:c r="AA12" s="64" t="n">
        <x:v>46219</x:v>
      </x:c>
    </x:row>
    <x:row r="13">
      <x:c r="A13" s="60" t="n">
        <x:v>9</x:v>
      </x:c>
      <x:c r="B13" s="72" t="str">
        <x:v>The Guardian</x:v>
      </x:c>
      <x:c r="C13" s="76" t="str">
        <x:v>https://www.theguardian.com/international</x:v>
      </x:c>
      <x:c r="D13" s="52" t="str">
        <x:v>Reino Unido; alcance global</x:v>
      </x:c>
      <x:c r="E13" s="52" t="str">
        <x:v>Global/Occidente</x:v>
      </x:c>
      <x:c r="F13" s="52" t="str">
        <x:v>Inglés</x:v>
      </x:c>
      <x:c r="G13" s="52" t="str">
        <x:v>Medio generalista</x:v>
      </x:c>
      <x:c r="H13" s="52" t="str">
        <x:v>Noticias, investigación y opinión</x:v>
      </x:c>
      <x:c r="I13" s="52" t="str">
        <x:v>Propiedad fiduciaria</x:v>
      </x:c>
      <x:c r="J13" s="52" t="str">
        <x:v>Privado/fiduciario</x:v>
      </x:c>
      <x:c r="K13" s="52" t="str">
        <x:v>Centro-izquierda</x:v>
      </x:c>
      <x:c r="L13" s="52" t="str">
        <x:v>Liberal / derechos humanos</x:v>
      </x:c>
      <x:c r="M13" s="60" t="n">
        <x:v>4</x:v>
      </x:c>
      <x:c r="N13" s="60" t="n">
        <x:v>4</x:v>
      </x:c>
      <x:c r="O13" s="60" t="n">
        <x:v>5</x:v>
      </x:c>
      <x:c r="P13" s="60" t="n">
        <x:v>4</x:v>
      </x:c>
      <x:c r="Q13" s="60" t="n">
        <x:v>5</x:v>
      </x:c>
      <x:c r="R13" s="60" t="n">
        <x:v>4</x:v>
      </x:c>
      <x:c r="S13" s="68" t="n">
        <x:f>ROUND(AVERAGE(M13:R13),1)</x:f>
        <x:v>4.3</x:v>
      </x:c>
      <x:c r="T13" s="60" t="str">
        <x:f>IF(S13&gt;=4.3,"Alta",IF(S13&gt;=3.5,"Media-alta",IF(S13&gt;=2.7,"Media",IF(S13&gt;=2,"Baja","Muy baja"))))</x:f>
        <x:v>Alta</x:v>
      </x:c>
      <x:c r="U13" s="52" t="str">
        <x:v>Investigación, sociedad y clima</x:v>
      </x:c>
      <x:c r="V13" s="52" t="str">
        <x:v>Moderada</x:v>
      </x:c>
      <x:c r="W13" s="52" t="str">
        <x:v>Agencias y fuentes con distinta perspectiva</x:v>
      </x:c>
      <x:c r="X13" s="52" t="str">
        <x:v>Activo</x:v>
      </x:c>
      <x:c r="Y13" s="52" t="str"/>
      <x:c r="Z13" s="80" t="str">
        <x:v>https://www.theguardian.com/international</x:v>
      </x:c>
      <x:c r="AA13" s="64" t="n">
        <x:v>46219</x:v>
      </x:c>
    </x:row>
    <x:row r="14">
      <x:c r="A14" s="60" t="n">
        <x:v>10</x:v>
      </x:c>
      <x:c r="B14" s="72" t="str">
        <x:v>The New York Times</x:v>
      </x:c>
      <x:c r="C14" s="76" t="str">
        <x:v>https://www.nytimes.com/</x:v>
      </x:c>
      <x:c r="D14" s="52" t="str">
        <x:v>Estados Unidos; alcance global</x:v>
      </x:c>
      <x:c r="E14" s="52" t="str">
        <x:v>Global/Occidente</x:v>
      </x:c>
      <x:c r="F14" s="52" t="str">
        <x:v>Inglés</x:v>
      </x:c>
      <x:c r="G14" s="52" t="str">
        <x:v>Medio generalista</x:v>
      </x:c>
      <x:c r="H14" s="52" t="str">
        <x:v>Noticias, investigación y análisis</x:v>
      </x:c>
      <x:c r="I14" s="52" t="str">
        <x:v>Privado comercial</x:v>
      </x:c>
      <x:c r="J14" s="52" t="str">
        <x:v>Privado</x:v>
      </x:c>
      <x:c r="K14" s="52" t="str">
        <x:v>Centro-izquierda liberal</x:v>
      </x:c>
      <x:c r="L14" s="52" t="str">
        <x:v>Estadounidense / liberal internacionalista</x:v>
      </x:c>
      <x:c r="M14" s="60" t="n">
        <x:v>5</x:v>
      </x:c>
      <x:c r="N14" s="60" t="n">
        <x:v>4</x:v>
      </x:c>
      <x:c r="O14" s="60" t="n">
        <x:v>4</x:v>
      </x:c>
      <x:c r="P14" s="60" t="n">
        <x:v>5</x:v>
      </x:c>
      <x:c r="Q14" s="60" t="n">
        <x:v>5</x:v>
      </x:c>
      <x:c r="R14" s="60" t="n">
        <x:v>4</x:v>
      </x:c>
      <x:c r="S14" s="68" t="n">
        <x:f>ROUND(AVERAGE(M14:R14),1)</x:f>
        <x:v>4.5</x:v>
      </x:c>
      <x:c r="T14" s="60" t="str">
        <x:f>IF(S14&gt;=4.3,"Alta",IF(S14&gt;=3.5,"Media-alta",IF(S14&gt;=2.7,"Media",IF(S14&gt;=2,"Baja","Muy baja"))))</x:f>
        <x:v>Alta</x:v>
      </x:c>
      <x:c r="U14" s="52" t="str">
        <x:v>Investigación y contexto profundo</x:v>
      </x:c>
      <x:c r="V14" s="52" t="str">
        <x:v>Moderada</x:v>
      </x:c>
      <x:c r="W14" s="52" t="str">
        <x:v>Agencias, documentos y prensa local</x:v>
      </x:c>
      <x:c r="X14" s="52" t="str">
        <x:v>Activo</x:v>
      </x:c>
      <x:c r="Y14" s="52" t="str">
        <x:v>Distinguir con claridad noticias, análisis y columnas.</x:v>
      </x:c>
      <x:c r="Z14" s="80" t="str">
        <x:v>https://www.nytimes.com/</x:v>
      </x:c>
      <x:c r="AA14" s="64" t="n">
        <x:v>46219</x:v>
      </x:c>
    </x:row>
    <x:row r="15">
      <x:c r="A15" s="60" t="n">
        <x:v>11</x:v>
      </x:c>
      <x:c r="B15" s="72" t="str">
        <x:v>The Wall Street Journal</x:v>
      </x:c>
      <x:c r="C15" s="76" t="str">
        <x:v>https://www.wsj.com/</x:v>
      </x:c>
      <x:c r="D15" s="52" t="str">
        <x:v>Estados Unidos; alcance global</x:v>
      </x:c>
      <x:c r="E15" s="52" t="str">
        <x:v>Global/Occidente</x:v>
      </x:c>
      <x:c r="F15" s="52" t="str">
        <x:v>Inglés</x:v>
      </x:c>
      <x:c r="G15" s="52" t="str">
        <x:v>Medio generalista y financiero</x:v>
      </x:c>
      <x:c r="H15" s="52" t="str">
        <x:v>Noticias económicas, empresariales y opinión</x:v>
      </x:c>
      <x:c r="I15" s="52" t="str">
        <x:v>Privado comercial</x:v>
      </x:c>
      <x:c r="J15" s="52" t="str">
        <x:v>Privado</x:v>
      </x:c>
      <x:c r="K15" s="52" t="str">
        <x:v>Centro-derecha; editorial conservador</x:v>
      </x:c>
      <x:c r="L15" s="52" t="str">
        <x:v>Mercados / estadounidense</x:v>
      </x:c>
      <x:c r="M15" s="60" t="n">
        <x:v>5</x:v>
      </x:c>
      <x:c r="N15" s="60" t="n">
        <x:v>4</x:v>
      </x:c>
      <x:c r="O15" s="60" t="n">
        <x:v>4</x:v>
      </x:c>
      <x:c r="P15" s="60" t="n">
        <x:v>5</x:v>
      </x:c>
      <x:c r="Q15" s="60" t="n">
        <x:v>5</x:v>
      </x:c>
      <x:c r="R15" s="60" t="n">
        <x:v>4</x:v>
      </x:c>
      <x:c r="S15" s="68" t="n">
        <x:f>ROUND(AVERAGE(M15:R15),1)</x:f>
        <x:v>4.5</x:v>
      </x:c>
      <x:c r="T15" s="60" t="str">
        <x:f>IF(S15&gt;=4.3,"Alta",IF(S15&gt;=3.5,"Media-alta",IF(S15&gt;=2.7,"Media",IF(S15&gt;=2,"Baja","Muy baja"))))</x:f>
        <x:v>Alta</x:v>
      </x:c>
      <x:c r="U15" s="52" t="str">
        <x:v>Economía, empresas, sanciones y comercio</x:v>
      </x:c>
      <x:c r="V15" s="52" t="str">
        <x:v>Moderada</x:v>
      </x:c>
      <x:c r="W15" s="52" t="str">
        <x:v>Reuters, Bloomberg y documentos regulatorios</x:v>
      </x:c>
      <x:c r="X15" s="52" t="str">
        <x:v>Activo</x:v>
      </x:c>
      <x:c r="Y15" s="52" t="str">
        <x:v>La sección informativa y la página editorial tienen perfiles distintos.</x:v>
      </x:c>
      <x:c r="Z15" s="80" t="str">
        <x:v>https://www.wsj.com/</x:v>
      </x:c>
      <x:c r="AA15" s="64" t="n">
        <x:v>46219</x:v>
      </x:c>
    </x:row>
    <x:row r="16">
      <x:c r="A16" s="60" t="n">
        <x:v>12</x:v>
      </x:c>
      <x:c r="B16" s="72" t="str">
        <x:v>Associated Press (AP)</x:v>
      </x:c>
      <x:c r="C16" s="76" t="str">
        <x:v>https://apnews.com/</x:v>
      </x:c>
      <x:c r="D16" s="52" t="str">
        <x:v>Estados Unidos; red global</x:v>
      </x:c>
      <x:c r="E16" s="52" t="str">
        <x:v>Global</x:v>
      </x:c>
      <x:c r="F16" s="52" t="str">
        <x:v>Inglés</x:v>
      </x:c>
      <x:c r="G16" s="52" t="str">
        <x:v>Agencia de noticias</x:v>
      </x:c>
      <x:c r="H16" s="52" t="str">
        <x:v>Confirmación factual y noticias urgentes</x:v>
      </x:c>
      <x:c r="I16" s="52" t="str">
        <x:v>Cooperativa sin fines de lucro</x:v>
      </x:c>
      <x:c r="J16" s="52" t="str">
        <x:v>Cooperativo</x:v>
      </x:c>
      <x:c r="K16" s="52" t="str">
        <x:v>Centro / baja carga editorial</x:v>
      </x:c>
      <x:c r="L16" s="52" t="str">
        <x:v>Global</x:v>
      </x:c>
      <x:c r="M16" s="60" t="n">
        <x:v>5</x:v>
      </x:c>
      <x:c r="N16" s="60" t="n">
        <x:v>5</x:v>
      </x:c>
      <x:c r="O16" s="60" t="n">
        <x:v>5</x:v>
      </x:c>
      <x:c r="P16" s="60" t="n">
        <x:v>5</x:v>
      </x:c>
      <x:c r="Q16" s="60" t="n">
        <x:v>5</x:v>
      </x:c>
      <x:c r="R16" s="60" t="n">
        <x:v>5</x:v>
      </x:c>
      <x:c r="S16" s="68" t="n">
        <x:f>ROUND(AVERAGE(M16:R16),1)</x:f>
        <x:v>5</x:v>
      </x:c>
      <x:c r="T16" s="60" t="str">
        <x:f>IF(S16&gt;=4.3,"Alta",IF(S16&gt;=3.5,"Media-alta",IF(S16&gt;=2.7,"Media",IF(S16&gt;=2,"Baja","Muy baja"))))</x:f>
        <x:v>Alta</x:v>
      </x:c>
      <x:c r="U16" s="52" t="str">
        <x:v>Fuente base para hechos y noticias urgentes</x:v>
      </x:c>
      <x:c r="V16" s="52" t="str">
        <x:v>Baja</x:v>
      </x:c>
      <x:c r="W16" s="52" t="str">
        <x:v>Reuters/AFP y fuentes primarias</x:v>
      </x:c>
      <x:c r="X16" s="52" t="str">
        <x:v>Nuevo recomendado</x:v>
      </x:c>
      <x:c r="Y16" s="52" t="str"/>
      <x:c r="Z16" s="80" t="str">
        <x:v>https://apnews.com/</x:v>
      </x:c>
      <x:c r="AA16" s="64" t="n">
        <x:v>46219</x:v>
      </x:c>
    </x:row>
    <x:row r="17">
      <x:c r="A17" s="60" t="n">
        <x:v>13</x:v>
      </x:c>
      <x:c r="B17" s="72" t="str">
        <x:v>Agence France-Presse (AFP)</x:v>
      </x:c>
      <x:c r="C17" s="76" t="str">
        <x:v>https://www.afp.com/</x:v>
      </x:c>
      <x:c r="D17" s="52" t="str">
        <x:v>Francia; red global</x:v>
      </x:c>
      <x:c r="E17" s="52" t="str">
        <x:v>Global</x:v>
      </x:c>
      <x:c r="F17" s="52" t="str">
        <x:v>Multilingüe</x:v>
      </x:c>
      <x:c r="G17" s="52" t="str">
        <x:v>Agencia de noticias</x:v>
      </x:c>
      <x:c r="H17" s="52" t="str">
        <x:v>Confirmación factual y noticias urgentes</x:v>
      </x:c>
      <x:c r="I17" s="52" t="str">
        <x:v>Agencia internacional con estatuto propio</x:v>
      </x:c>
      <x:c r="J17" s="52" t="str">
        <x:v>Institucional</x:v>
      </x:c>
      <x:c r="K17" s="52" t="str">
        <x:v>Centro / baja carga editorial</x:v>
      </x:c>
      <x:c r="L17" s="52" t="str">
        <x:v>Global / francesa</x:v>
      </x:c>
      <x:c r="M17" s="60" t="n">
        <x:v>5</x:v>
      </x:c>
      <x:c r="N17" s="60" t="n">
        <x:v>5</x:v>
      </x:c>
      <x:c r="O17" s="60" t="n">
        <x:v>5</x:v>
      </x:c>
      <x:c r="P17" s="60" t="n">
        <x:v>5</x:v>
      </x:c>
      <x:c r="Q17" s="60" t="n">
        <x:v>5</x:v>
      </x:c>
      <x:c r="R17" s="60" t="n">
        <x:v>5</x:v>
      </x:c>
      <x:c r="S17" s="68" t="n">
        <x:f>ROUND(AVERAGE(M17:R17),1)</x:f>
        <x:v>5</x:v>
      </x:c>
      <x:c r="T17" s="60" t="str">
        <x:f>IF(S17&gt;=4.3,"Alta",IF(S17&gt;=3.5,"Media-alta",IF(S17&gt;=2.7,"Media",IF(S17&gt;=2,"Baja","Muy baja"))))</x:f>
        <x:v>Alta</x:v>
      </x:c>
      <x:c r="U17" s="52" t="str">
        <x:v>Fuente base para hechos y verificación visual</x:v>
      </x:c>
      <x:c r="V17" s="52" t="str">
        <x:v>Baja</x:v>
      </x:c>
      <x:c r="W17" s="52" t="str">
        <x:v>Reuters/AP y fuentes primarias</x:v>
      </x:c>
      <x:c r="X17" s="52" t="str">
        <x:v>Nuevo recomendado</x:v>
      </x:c>
      <x:c r="Y17" s="52" t="str"/>
      <x:c r="Z17" s="80" t="str">
        <x:v>https://www.afp.com/</x:v>
      </x:c>
      <x:c r="AA17" s="64" t="n">
        <x:v>46219</x:v>
      </x:c>
    </x:row>
    <x:row r="18">
      <x:c r="A18" s="60" t="n">
        <x:v>14</x:v>
      </x:c>
      <x:c r="B18" s="72" t="str">
        <x:v>Bloomberg</x:v>
      </x:c>
      <x:c r="C18" s="76" t="str">
        <x:v>https://www.bloomberg.com/</x:v>
      </x:c>
      <x:c r="D18" s="52" t="str">
        <x:v>Estados Unidos; alcance global</x:v>
      </x:c>
      <x:c r="E18" s="52" t="str">
        <x:v>Global</x:v>
      </x:c>
      <x:c r="F18" s="52" t="str">
        <x:v>Inglés</x:v>
      </x:c>
      <x:c r="G18" s="52" t="str">
        <x:v>Medio financiero</x:v>
      </x:c>
      <x:c r="H18" s="52" t="str">
        <x:v>Mercados, empresas, energía y política económica</x:v>
      </x:c>
      <x:c r="I18" s="52" t="str">
        <x:v>Privado comercial</x:v>
      </x:c>
      <x:c r="J18" s="52" t="str">
        <x:v>Privado</x:v>
      </x:c>
      <x:c r="K18" s="52" t="str">
        <x:v>Centro / promercado</x:v>
      </x:c>
      <x:c r="L18" s="52" t="str">
        <x:v>Mercados globales</x:v>
      </x:c>
      <x:c r="M18" s="60" t="n">
        <x:v>5</x:v>
      </x:c>
      <x:c r="N18" s="60" t="n">
        <x:v>4</x:v>
      </x:c>
      <x:c r="O18" s="60" t="n">
        <x:v>4</x:v>
      </x:c>
      <x:c r="P18" s="60" t="n">
        <x:v>5</x:v>
      </x:c>
      <x:c r="Q18" s="60" t="n">
        <x:v>5</x:v>
      </x:c>
      <x:c r="R18" s="60" t="n">
        <x:v>4</x:v>
      </x:c>
      <x:c r="S18" s="68" t="n">
        <x:f>ROUND(AVERAGE(M18:R18),1)</x:f>
        <x:v>4.5</x:v>
      </x:c>
      <x:c r="T18" s="60" t="str">
        <x:f>IF(S18&gt;=4.3,"Alta",IF(S18&gt;=3.5,"Media-alta",IF(S18&gt;=2.7,"Media",IF(S18&gt;=2,"Baja","Muy baja"))))</x:f>
        <x:v>Alta</x:v>
      </x:c>
      <x:c r="U18" s="52" t="str">
        <x:v>Economía, sanciones, energía y empresas</x:v>
      </x:c>
      <x:c r="V18" s="52" t="str">
        <x:v>Moderada</x:v>
      </x:c>
      <x:c r="W18" s="52" t="str">
        <x:v>Reuters, FT y documentos financieros</x:v>
      </x:c>
      <x:c r="X18" s="52" t="str">
        <x:v>Nuevo recomendado</x:v>
      </x:c>
      <x:c r="Y18" s="52" t="str"/>
      <x:c r="Z18" s="80" t="str">
        <x:v>https://www.bloomberg.com/</x:v>
      </x:c>
      <x:c r="AA18" s="64" t="n">
        <x:v>46219</x:v>
      </x:c>
    </x:row>
    <x:row r="19">
      <x:c r="A19" s="60" t="n">
        <x:v>15</x:v>
      </x:c>
      <x:c r="B19" s="72" t="str">
        <x:v>Financial Times</x:v>
      </x:c>
      <x:c r="C19" s="76" t="str">
        <x:v>https://www.ft.com/</x:v>
      </x:c>
      <x:c r="D19" s="52" t="str">
        <x:v>Reino Unido; alcance global</x:v>
      </x:c>
      <x:c r="E19" s="52" t="str">
        <x:v>Global/Occidente</x:v>
      </x:c>
      <x:c r="F19" s="52" t="str">
        <x:v>Inglés</x:v>
      </x:c>
      <x:c r="G19" s="52" t="str">
        <x:v>Medio financiero</x:v>
      </x:c>
      <x:c r="H19" s="52" t="str">
        <x:v>Economía, empresas y geopolítica</x:v>
      </x:c>
      <x:c r="I19" s="52" t="str">
        <x:v>Privado comercial</x:v>
      </x:c>
      <x:c r="J19" s="52" t="str">
        <x:v>Privado</x:v>
      </x:c>
      <x:c r="K19" s="52" t="str">
        <x:v>Centro liberal</x:v>
      </x:c>
      <x:c r="L19" s="52" t="str">
        <x:v>Global / promercado / europeísta</x:v>
      </x:c>
      <x:c r="M19" s="60" t="n">
        <x:v>5</x:v>
      </x:c>
      <x:c r="N19" s="60" t="n">
        <x:v>4</x:v>
      </x:c>
      <x:c r="O19" s="60" t="n">
        <x:v>4</x:v>
      </x:c>
      <x:c r="P19" s="60" t="n">
        <x:v>5</x:v>
      </x:c>
      <x:c r="Q19" s="60" t="n">
        <x:v>5</x:v>
      </x:c>
      <x:c r="R19" s="60" t="n">
        <x:v>4</x:v>
      </x:c>
      <x:c r="S19" s="68" t="n">
        <x:f>ROUND(AVERAGE(M19:R19),1)</x:f>
        <x:v>4.5</x:v>
      </x:c>
      <x:c r="T19" s="60" t="str">
        <x:f>IF(S19&gt;=4.3,"Alta",IF(S19&gt;=3.5,"Media-alta",IF(S19&gt;=2.7,"Media",IF(S19&gt;=2,"Baja","Muy baja"))))</x:f>
        <x:v>Alta</x:v>
      </x:c>
      <x:c r="U19" s="52" t="str">
        <x:v>Geoeconomía, comercio y estrategia empresarial</x:v>
      </x:c>
      <x:c r="V19" s="52" t="str">
        <x:v>Moderada</x:v>
      </x:c>
      <x:c r="W19" s="52" t="str">
        <x:v>Reuters, Bloomberg y documentos oficiales</x:v>
      </x:c>
      <x:c r="X19" s="52" t="str">
        <x:v>Nuevo recomendado</x:v>
      </x:c>
      <x:c r="Y19" s="52" t="str"/>
      <x:c r="Z19" s="80" t="str">
        <x:v>https://www.ft.com/</x:v>
      </x:c>
      <x:c r="AA19" s="64" t="n">
        <x:v>46219</x:v>
      </x:c>
    </x:row>
    <x:row r="20">
      <x:c r="A20" s="60" t="n">
        <x:v>16</x:v>
      </x:c>
      <x:c r="B20" s="72" t="str">
        <x:v>Deutsche Welle</x:v>
      </x:c>
      <x:c r="C20" s="76" t="str">
        <x:v>https://www.dw.com/</x:v>
      </x:c>
      <x:c r="D20" s="52" t="str">
        <x:v>Alemania; alcance global</x:v>
      </x:c>
      <x:c r="E20" s="52" t="str">
        <x:v>Global/Occidente</x:v>
      </x:c>
      <x:c r="F20" s="52" t="str">
        <x:v>Multilingüe</x:v>
      </x:c>
      <x:c r="G20" s="52" t="str">
        <x:v>Radiodifusor público internacional</x:v>
      </x:c>
      <x:c r="H20" s="52" t="str">
        <x:v>Noticias y contexto</x:v>
      </x:c>
      <x:c r="I20" s="52" t="str">
        <x:v>Financiación pública alemana</x:v>
      </x:c>
      <x:c r="J20" s="52" t="str">
        <x:v>Público</x:v>
      </x:c>
      <x:c r="K20" s="52" t="str">
        <x:v>Centro</x:v>
      </x:c>
      <x:c r="L20" s="52" t="str">
        <x:v>Europea / alemana</x:v>
      </x:c>
      <x:c r="M20" s="60" t="n">
        <x:v>4</x:v>
      </x:c>
      <x:c r="N20" s="60" t="n">
        <x:v>4</x:v>
      </x:c>
      <x:c r="O20" s="60" t="n">
        <x:v>5</x:v>
      </x:c>
      <x:c r="P20" s="60" t="n">
        <x:v>4</x:v>
      </x:c>
      <x:c r="Q20" s="60" t="n">
        <x:v>5</x:v>
      </x:c>
      <x:c r="R20" s="60" t="n">
        <x:v>5</x:v>
      </x:c>
      <x:c r="S20" s="68" t="n">
        <x:f>ROUND(AVERAGE(M20:R20),1)</x:f>
        <x:v>4.5</x:v>
      </x:c>
      <x:c r="T20" s="60" t="str">
        <x:f>IF(S20&gt;=4.3,"Alta",IF(S20&gt;=3.5,"Media-alta",IF(S20&gt;=2.7,"Media",IF(S20&gt;=2,"Baja","Muy baja"))))</x:f>
        <x:v>Alta</x:v>
      </x:c>
      <x:c r="U20" s="52" t="str">
        <x:v>Europa, Alemania y cobertura multilingüe</x:v>
      </x:c>
      <x:c r="V20" s="52" t="str">
        <x:v>Moderada</x:v>
      </x:c>
      <x:c r="W20" s="52" t="str">
        <x:v>Agencias y medios locales</x:v>
      </x:c>
      <x:c r="X20" s="52" t="str">
        <x:v>Nuevo recomendado</x:v>
      </x:c>
      <x:c r="Y20" s="52" t="str"/>
      <x:c r="Z20" s="80" t="str">
        <x:v>https://www.dw.com/</x:v>
      </x:c>
      <x:c r="AA20" s="64" t="n">
        <x:v>46219</x:v>
      </x:c>
    </x:row>
    <x:row r="21">
      <x:c r="A21" s="60" t="n">
        <x:v>17</x:v>
      </x:c>
      <x:c r="B21" s="72" t="str">
        <x:v>France 24</x:v>
      </x:c>
      <x:c r="C21" s="76" t="str">
        <x:v>https://www.france24.com/</x:v>
      </x:c>
      <x:c r="D21" s="52" t="str">
        <x:v>Francia; alcance global</x:v>
      </x:c>
      <x:c r="E21" s="52" t="str">
        <x:v>Global/Occidente</x:v>
      </x:c>
      <x:c r="F21" s="52" t="str">
        <x:v>Francés, inglés, árabe, español</x:v>
      </x:c>
      <x:c r="G21" s="52" t="str">
        <x:v>Radiodifusor público internacional</x:v>
      </x:c>
      <x:c r="H21" s="52" t="str">
        <x:v>Noticias internacionales</x:v>
      </x:c>
      <x:c r="I21" s="52" t="str">
        <x:v>Financiación pública francesa</x:v>
      </x:c>
      <x:c r="J21" s="52" t="str">
        <x:v>Público</x:v>
      </x:c>
      <x:c r="K21" s="52" t="str">
        <x:v>Centro</x:v>
      </x:c>
      <x:c r="L21" s="52" t="str">
        <x:v>Francesa / europea</x:v>
      </x:c>
      <x:c r="M21" s="60" t="n">
        <x:v>4</x:v>
      </x:c>
      <x:c r="N21" s="60" t="n">
        <x:v>4</x:v>
      </x:c>
      <x:c r="O21" s="60" t="n">
        <x:v>5</x:v>
      </x:c>
      <x:c r="P21" s="60" t="n">
        <x:v>4</x:v>
      </x:c>
      <x:c r="Q21" s="60" t="n">
        <x:v>4</x:v>
      </x:c>
      <x:c r="R21" s="60" t="n">
        <x:v>5</x:v>
      </x:c>
      <x:c r="S21" s="68" t="n">
        <x:f>ROUND(AVERAGE(M21:R21),1)</x:f>
        <x:v>4.3</x:v>
      </x:c>
      <x:c r="T21" s="60" t="str">
        <x:f>IF(S21&gt;=4.3,"Alta",IF(S21&gt;=3.5,"Media-alta",IF(S21&gt;=2.7,"Media",IF(S21&gt;=2,"Baja","Muy baja"))))</x:f>
        <x:v>Alta</x:v>
      </x:c>
      <x:c r="U21" s="52" t="str">
        <x:v>Europa, África y Medio Oriente</x:v>
      </x:c>
      <x:c r="V21" s="52" t="str">
        <x:v>Moderada</x:v>
      </x:c>
      <x:c r="W21" s="52" t="str">
        <x:v>Agencias y fuentes locales</x:v>
      </x:c>
      <x:c r="X21" s="52" t="str">
        <x:v>Nuevo recomendado</x:v>
      </x:c>
      <x:c r="Y21" s="52" t="str"/>
      <x:c r="Z21" s="80" t="str">
        <x:v>https://www.france24.com/</x:v>
      </x:c>
      <x:c r="AA21" s="64" t="n">
        <x:v>46219</x:v>
      </x:c>
    </x:row>
    <x:row r="22">
      <x:c r="A22" s="60" t="n">
        <x:v>18</x:v>
      </x:c>
      <x:c r="B22" s="72" t="str">
        <x:v>Al Jazeera English</x:v>
      </x:c>
      <x:c r="C22" s="76" t="str">
        <x:v>https://www.aljazeera.com/</x:v>
      </x:c>
      <x:c r="D22" s="52" t="str">
        <x:v>Qatar; alcance global</x:v>
      </x:c>
      <x:c r="E22" s="52" t="str">
        <x:v>Medio Oriente/Global</x:v>
      </x:c>
      <x:c r="F22" s="52" t="str">
        <x:v>Inglés</x:v>
      </x:c>
      <x:c r="G22" s="52" t="str">
        <x:v>Red internacional</x:v>
      </x:c>
      <x:c r="H22" s="52" t="str">
        <x:v>Noticias, documentales y análisis</x:v>
      </x:c>
      <x:c r="I22" s="52" t="str">
        <x:v>Financiación pública catarí</x:v>
      </x:c>
      <x:c r="J22" s="52" t="str">
        <x:v>Estatal/afiliado al Estado</x:v>
      </x:c>
      <x:c r="K22" s="52" t="str">
        <x:v>Progresista en temas globales</x:v>
      </x:c>
      <x:c r="L22" s="52" t="str">
        <x:v>Catarí / Global South</x:v>
      </x:c>
      <x:c r="M22" s="60" t="n">
        <x:v>4</x:v>
      </x:c>
      <x:c r="N22" s="60" t="n">
        <x:v>2</x:v>
      </x:c>
      <x:c r="O22" s="60" t="n">
        <x:v>4</x:v>
      </x:c>
      <x:c r="P22" s="60" t="n">
        <x:v>4</x:v>
      </x:c>
      <x:c r="Q22" s="60" t="n">
        <x:v>4</x:v>
      </x:c>
      <x:c r="R22" s="60" t="n">
        <x:v>4</x:v>
      </x:c>
      <x:c r="S22" s="68" t="n">
        <x:f>ROUND(AVERAGE(M22:R22),1)</x:f>
        <x:v>3.7</x:v>
      </x:c>
      <x:c r="T22" s="60" t="str">
        <x:f>IF(S22&gt;=4.3,"Alta",IF(S22&gt;=3.5,"Media-alta",IF(S22&gt;=2.7,"Media",IF(S22&gt;=2,"Baja","Muy baja"))))</x:f>
        <x:v>Media-alta</x:v>
      </x:c>
      <x:c r="U22" s="52" t="str">
        <x:v>Perspectiva regional y Global South</x:v>
      </x:c>
      <x:c r="V22" s="52" t="str">
        <x:v>Alta en asuntos sensibles para Qatar</x:v>
      </x:c>
      <x:c r="W22" s="52" t="str">
        <x:v>Reuters/AP y medios regionales con líneas distintas</x:v>
      </x:c>
      <x:c r="X22" s="52" t="str">
        <x:v>Uso condicionado</x:v>
      </x:c>
      <x:c r="Y22" s="52" t="str">
        <x:v>No equiparar automáticamente la edición inglesa con la árabe.</x:v>
      </x:c>
      <x:c r="Z22" s="80" t="str">
        <x:v>https://www.aljazeera.com/about-us</x:v>
      </x:c>
      <x:c r="AA22" s="64" t="n">
        <x:v>46219</x:v>
      </x:c>
    </x:row>
    <x:row r="23">
      <x:c r="A23" s="60" t="n">
        <x:v>19</x:v>
      </x:c>
      <x:c r="B23" s="72" t="str">
        <x:v>Al Jazeera Arabic</x:v>
      </x:c>
      <x:c r="C23" s="76" t="str">
        <x:v>https://www.aljazeera.net/</x:v>
      </x:c>
      <x:c r="D23" s="52" t="str">
        <x:v>Qatar; alcance regional</x:v>
      </x:c>
      <x:c r="E23" s="52" t="str">
        <x:v>Medio Oriente</x:v>
      </x:c>
      <x:c r="F23" s="52" t="str">
        <x:v>Árabe</x:v>
      </x:c>
      <x:c r="G23" s="52" t="str">
        <x:v>Red regional</x:v>
      </x:c>
      <x:c r="H23" s="52" t="str">
        <x:v>Noticias, debates y análisis</x:v>
      </x:c>
      <x:c r="I23" s="52" t="str">
        <x:v>Financiación pública catarí</x:v>
      </x:c>
      <x:c r="J23" s="52" t="str">
        <x:v>Estatal/afiliado al Estado</x:v>
      </x:c>
      <x:c r="K23" s="52" t="str">
        <x:v>Variable por programa</x:v>
      </x:c>
      <x:c r="L23" s="52" t="str">
        <x:v>Catarí / panárabe</x:v>
      </x:c>
      <x:c r="M23" s="60" t="n">
        <x:v>3</x:v>
      </x:c>
      <x:c r="N23" s="60" t="n">
        <x:v>2</x:v>
      </x:c>
      <x:c r="O23" s="60" t="n">
        <x:v>4</x:v>
      </x:c>
      <x:c r="P23" s="60" t="n">
        <x:v>3</x:v>
      </x:c>
      <x:c r="Q23" s="60" t="n">
        <x:v>3</x:v>
      </x:c>
      <x:c r="R23" s="60" t="n">
        <x:v>3</x:v>
      </x:c>
      <x:c r="S23" s="68" t="n">
        <x:f>ROUND(AVERAGE(M23:R23),1)</x:f>
        <x:v>3</x:v>
      </x:c>
      <x:c r="T23" s="60" t="str">
        <x:f>IF(S23&gt;=4.3,"Alta",IF(S23&gt;=3.5,"Media-alta",IF(S23&gt;=2.7,"Media",IF(S23&gt;=2,"Baja","Muy baja"))))</x:f>
        <x:v>Media</x:v>
      </x:c>
      <x:c r="U23" s="52" t="str">
        <x:v>Seguimiento de narrativas árabes y agenda regional</x:v>
      </x:c>
      <x:c r="V23" s="52" t="str">
        <x:v>Alta</x:v>
      </x:c>
      <x:c r="W23" s="52" t="str">
        <x:v>Reuters/AP, medios locales y documentación primaria</x:v>
      </x:c>
      <x:c r="X23" s="52" t="str">
        <x:v>Nuevo recomendado</x:v>
      </x:c>
      <x:c r="Y23" s="52" t="str">
        <x:v>Evaluar por programa; mayor carga política que la edición inglesa.</x:v>
      </x:c>
      <x:c r="Z23" s="80" t="str">
        <x:v>https://www.aljazeera.com/about-us</x:v>
      </x:c>
      <x:c r="AA23" s="64" t="n">
        <x:v>46219</x:v>
      </x:c>
    </x:row>
    <x:row r="24">
      <x:c r="A24" s="60" t="n">
        <x:v>20</x:v>
      </x:c>
      <x:c r="B24" s="72" t="str">
        <x:v>Channel 13 (Israel)</x:v>
      </x:c>
      <x:c r="C24" s="76" t="str">
        <x:v>https://13tv.co.il/</x:v>
      </x:c>
      <x:c r="D24" s="52" t="str">
        <x:v>Israel</x:v>
      </x:c>
      <x:c r="E24" s="52" t="str">
        <x:v>Medio Oriente</x:v>
      </x:c>
      <x:c r="F24" s="52" t="str">
        <x:v>Hebreo</x:v>
      </x:c>
      <x:c r="G24" s="52" t="str">
        <x:v>Televisión comercial</x:v>
      </x:c>
      <x:c r="H24" s="52" t="str">
        <x:v>Noticias nacionales</x:v>
      </x:c>
      <x:c r="I24" s="52" t="str">
        <x:v>Privado comercial</x:v>
      </x:c>
      <x:c r="J24" s="52" t="str">
        <x:v>Privado</x:v>
      </x:c>
      <x:c r="K24" s="52" t="str">
        <x:v>Centro; variable por programa</x:v>
      </x:c>
      <x:c r="L24" s="52" t="str">
        <x:v>Israelí</x:v>
      </x:c>
      <x:c r="M24" s="60" t="n">
        <x:v>4</x:v>
      </x:c>
      <x:c r="N24" s="60" t="n">
        <x:v>4</x:v>
      </x:c>
      <x:c r="O24" s="60" t="n">
        <x:v>3</x:v>
      </x:c>
      <x:c r="P24" s="60" t="n">
        <x:v>4</x:v>
      </x:c>
      <x:c r="Q24" s="60" t="n">
        <x:v>4</x:v>
      </x:c>
      <x:c r="R24" s="60" t="n">
        <x:v>3</x:v>
      </x:c>
      <x:c r="S24" s="68" t="n">
        <x:f>ROUND(AVERAGE(M24:R24),1)</x:f>
        <x:v>3.7</x:v>
      </x:c>
      <x:c r="T24" s="60" t="str">
        <x:f>IF(S24&gt;=4.3,"Alta",IF(S24&gt;=3.5,"Media-alta",IF(S24&gt;=2.7,"Media",IF(S24&gt;=2,"Baja","Muy baja"))))</x:f>
        <x:v>Media-alta</x:v>
      </x:c>
      <x:c r="U24" s="52" t="str">
        <x:v>Actualidad y debate político israelí</x:v>
      </x:c>
      <x:c r="V24" s="52" t="str">
        <x:v>Moderada</x:v>
      </x:c>
      <x:c r="W24" s="52" t="str">
        <x:v>Kan, N12, Haaretz, TOI y fuentes oficiales</x:v>
      </x:c>
      <x:c r="X24" s="52" t="str">
        <x:v>Activo</x:v>
      </x:c>
      <x:c r="Y24" s="52" t="str"/>
      <x:c r="Z24" s="80" t="str">
        <x:v>https://13tv.co.il/</x:v>
      </x:c>
      <x:c r="AA24" s="64" t="n">
        <x:v>46219</x:v>
      </x:c>
    </x:row>
    <x:row r="25">
      <x:c r="A25" s="60" t="n">
        <x:v>21</x:v>
      </x:c>
      <x:c r="B25" s="72" t="str">
        <x:v>Gulf News</x:v>
      </x:c>
      <x:c r="C25" s="76" t="str">
        <x:v>https://gulfnews.com/</x:v>
      </x:c>
      <x:c r="D25" s="52" t="str">
        <x:v>Emiratos Árabes Unidos</x:v>
      </x:c>
      <x:c r="E25" s="52" t="str">
        <x:v>Medio Oriente</x:v>
      </x:c>
      <x:c r="F25" s="52" t="str">
        <x:v>Inglés</x:v>
      </x:c>
      <x:c r="G25" s="52" t="str">
        <x:v>Medio regional</x:v>
      </x:c>
      <x:c r="H25" s="52" t="str">
        <x:v>Noticias generales y regionales</x:v>
      </x:c>
      <x:c r="I25" s="52" t="str">
        <x:v>Privado comercial en entorno altamente regulado</x:v>
      </x:c>
      <x:c r="J25" s="52" t="str">
        <x:v>Privado/regulado</x:v>
      </x:c>
      <x:c r="K25" s="52" t="str">
        <x:v>Proinstitucional</x:v>
      </x:c>
      <x:c r="L25" s="52" t="str">
        <x:v>Emiratí / Golfo</x:v>
      </x:c>
      <x:c r="M25" s="60" t="n">
        <x:v>3</x:v>
      </x:c>
      <x:c r="N25" s="60" t="n">
        <x:v>2</x:v>
      </x:c>
      <x:c r="O25" s="60" t="n">
        <x:v>3</x:v>
      </x:c>
      <x:c r="P25" s="60" t="n">
        <x:v>3</x:v>
      </x:c>
      <x:c r="Q25" s="60" t="n">
        <x:v>3</x:v>
      </x:c>
      <x:c r="R25" s="60" t="n">
        <x:v>4</x:v>
      </x:c>
      <x:c r="S25" s="68" t="n">
        <x:f>ROUND(AVERAGE(M25:R25),1)</x:f>
        <x:v>3</x:v>
      </x:c>
      <x:c r="T25" s="60" t="str">
        <x:f>IF(S25&gt;=4.3,"Alta",IF(S25&gt;=3.5,"Media-alta",IF(S25&gt;=2.7,"Media",IF(S25&gt;=2,"Baja","Muy baja"))))</x:f>
        <x:v>Media</x:v>
      </x:c>
      <x:c r="U25" s="52" t="str">
        <x:v>Economía y narrativa oficial del Golfo</x:v>
      </x:c>
      <x:c r="V25" s="52" t="str">
        <x:v>Alta en política interna y regional sensible</x:v>
      </x:c>
      <x:c r="W25" s="52" t="str">
        <x:v>Reuters, AFP y medios árabes independientes</x:v>
      </x:c>
      <x:c r="X25" s="52" t="str">
        <x:v>Uso condicionado</x:v>
      </x:c>
      <x:c r="Y25" s="52" t="str"/>
      <x:c r="Z25" s="80" t="str">
        <x:v>https://gulfnews.com/</x:v>
      </x:c>
      <x:c r="AA25" s="64" t="n">
        <x:v>46219</x:v>
      </x:c>
    </x:row>
    <x:row r="26">
      <x:c r="A26" s="60" t="n">
        <x:v>22</x:v>
      </x:c>
      <x:c r="B26" s="72" t="str">
        <x:v>Ha-Makom</x:v>
      </x:c>
      <x:c r="C26" s="76" t="str">
        <x:v>https://www.ha-makom.co.il/</x:v>
      </x:c>
      <x:c r="D26" s="52" t="str">
        <x:v>Israel</x:v>
      </x:c>
      <x:c r="E26" s="52" t="str">
        <x:v>Medio Oriente</x:v>
      </x:c>
      <x:c r="F26" s="52" t="str">
        <x:v>Hebreo</x:v>
      </x:c>
      <x:c r="G26" s="52" t="str">
        <x:v>Investigación / medio crítico</x:v>
      </x:c>
      <x:c r="H26" s="52" t="str">
        <x:v>Reportajes e investigación</x:v>
      </x:c>
      <x:c r="I26" s="52" t="str">
        <x:v>Independiente</x:v>
      </x:c>
      <x:c r="J26" s="52" t="str">
        <x:v>Independiente</x:v>
      </x:c>
      <x:c r="K26" s="52" t="str">
        <x:v>Izquierda crítica</x:v>
      </x:c>
      <x:c r="L26" s="52" t="str">
        <x:v>Israelí / derechos civiles</x:v>
      </x:c>
      <x:c r="M26" s="60" t="n">
        <x:v>4</x:v>
      </x:c>
      <x:c r="N26" s="60" t="n">
        <x:v>4</x:v>
      </x:c>
      <x:c r="O26" s="60" t="n">
        <x:v>3</x:v>
      </x:c>
      <x:c r="P26" s="60" t="n">
        <x:v>4</x:v>
      </x:c>
      <x:c r="Q26" s="60" t="n">
        <x:v>3</x:v>
      </x:c>
      <x:c r="R26" s="60" t="n">
        <x:v>4</x:v>
      </x:c>
      <x:c r="S26" s="68" t="n">
        <x:f>ROUND(AVERAGE(M26:R26),1)</x:f>
        <x:v>3.7</x:v>
      </x:c>
      <x:c r="T26" s="60" t="str">
        <x:f>IF(S26&gt;=4.3,"Alta",IF(S26&gt;=3.5,"Media-alta",IF(S26&gt;=2.7,"Media",IF(S26&gt;=2,"Baja","Muy baja"))))</x:f>
        <x:v>Media-alta</x:v>
      </x:c>
      <x:c r="U26" s="52" t="str">
        <x:v>Investigación social y política israelí</x:v>
      </x:c>
      <x:c r="V26" s="52" t="str">
        <x:v>Moderada</x:v>
      </x:c>
      <x:c r="W26" s="52" t="str">
        <x:v>Documentos, medios nacionales y fuentes de signo distinto</x:v>
      </x:c>
      <x:c r="X26" s="52" t="str">
        <x:v>Activo</x:v>
      </x:c>
      <x:c r="Y26" s="52" t="str">
        <x:v>Reubicado fuera de la categoría mainstream.</x:v>
      </x:c>
      <x:c r="Z26" s="80" t="str">
        <x:v>https://www.ha-makom.co.il/</x:v>
      </x:c>
      <x:c r="AA26" s="64" t="n">
        <x:v>46219</x:v>
      </x:c>
    </x:row>
    <x:row r="27">
      <x:c r="A27" s="60" t="n">
        <x:v>23</x:v>
      </x:c>
      <x:c r="B27" s="72" t="str">
        <x:v>Haaretz</x:v>
      </x:c>
      <x:c r="C27" s="76" t="str">
        <x:v>https://www.haaretz.com/</x:v>
      </x:c>
      <x:c r="D27" s="52" t="str">
        <x:v>Israel; edición hebrea e inglesa</x:v>
      </x:c>
      <x:c r="E27" s="52" t="str">
        <x:v>Medio Oriente</x:v>
      </x:c>
      <x:c r="F27" s="52" t="str">
        <x:v>Hebreo/Inglés</x:v>
      </x:c>
      <x:c r="G27" s="52" t="str">
        <x:v>Medio generalista</x:v>
      </x:c>
      <x:c r="H27" s="52" t="str">
        <x:v>Noticias, investigación, análisis y opinión</x:v>
      </x:c>
      <x:c r="I27" s="52" t="str">
        <x:v>Privado comercial</x:v>
      </x:c>
      <x:c r="J27" s="52" t="str">
        <x:v>Privado</x:v>
      </x:c>
      <x:c r="K27" s="52" t="str">
        <x:v>Liberal / centro-izquierda</x:v>
      </x:c>
      <x:c r="L27" s="52" t="str">
        <x:v>Israelí liberal; crítico de la ocupación</x:v>
      </x:c>
      <x:c r="M27" s="60" t="n">
        <x:v>4</x:v>
      </x:c>
      <x:c r="N27" s="60" t="n">
        <x:v>4</x:v>
      </x:c>
      <x:c r="O27" s="60" t="n">
        <x:v>4</x:v>
      </x:c>
      <x:c r="P27" s="60" t="n">
        <x:v>4</x:v>
      </x:c>
      <x:c r="Q27" s="60" t="n">
        <x:v>4</x:v>
      </x:c>
      <x:c r="R27" s="60" t="n">
        <x:v>3</x:v>
      </x:c>
      <x:c r="S27" s="68" t="n">
        <x:f>ROUND(AVERAGE(M27:R27),1)</x:f>
        <x:v>3.8</x:v>
      </x:c>
      <x:c r="T27" s="60" t="str">
        <x:f>IF(S27&gt;=4.3,"Alta",IF(S27&gt;=3.5,"Media-alta",IF(S27&gt;=2.7,"Media",IF(S27&gt;=2,"Baja","Muy baja"))))</x:f>
        <x:v>Media-alta</x:v>
      </x:c>
      <x:c r="U27" s="52" t="str">
        <x:v>Investigación y perspectiva liberal israelí</x:v>
      </x:c>
      <x:c r="V27" s="52" t="str">
        <x:v>Moderada</x:v>
      </x:c>
      <x:c r="W27" s="52" t="str">
        <x:v>Kan, TOI, Ynet, medios árabes y fuentes oficiales</x:v>
      </x:c>
      <x:c r="X27" s="52" t="str">
        <x:v>Activo</x:v>
      </x:c>
      <x:c r="Y27" s="52" t="str">
        <x:v>Separar noticias, análisis y columnas editoriales.</x:v>
      </x:c>
      <x:c r="Z27" s="80" t="str">
        <x:v>https://www.haaretz.com/</x:v>
      </x:c>
      <x:c r="AA27" s="64" t="n">
        <x:v>46219</x:v>
      </x:c>
    </x:row>
    <x:row r="28">
      <x:c r="A28" s="60" t="n">
        <x:v>24</x:v>
      </x:c>
      <x:c r="B28" s="72" t="str">
        <x:v>Kan (Israel)</x:v>
      </x:c>
      <x:c r="C28" s="76" t="str">
        <x:v>https://www.kan.org.il/</x:v>
      </x:c>
      <x:c r="D28" s="52" t="str">
        <x:v>Israel</x:v>
      </x:c>
      <x:c r="E28" s="52" t="str">
        <x:v>Medio Oriente</x:v>
      </x:c>
      <x:c r="F28" s="52" t="str">
        <x:v>Hebreo/Árabe</x:v>
      </x:c>
      <x:c r="G28" s="52" t="str">
        <x:v>Radiodifusor público</x:v>
      </x:c>
      <x:c r="H28" s="52" t="str">
        <x:v>Noticias nacionales e internacionales</x:v>
      </x:c>
      <x:c r="I28" s="52" t="str">
        <x:v>Financiación pública</x:v>
      </x:c>
      <x:c r="J28" s="52" t="str">
        <x:v>Público</x:v>
      </x:c>
      <x:c r="K28" s="52" t="str">
        <x:v>Centro; plural</x:v>
      </x:c>
      <x:c r="L28" s="52" t="str">
        <x:v>Israelí / servicio público</x:v>
      </x:c>
      <x:c r="M28" s="60" t="n">
        <x:v>4</x:v>
      </x:c>
      <x:c r="N28" s="60" t="n">
        <x:v>4</x:v>
      </x:c>
      <x:c r="O28" s="60" t="n">
        <x:v>5</x:v>
      </x:c>
      <x:c r="P28" s="60" t="n">
        <x:v>4</x:v>
      </x:c>
      <x:c r="Q28" s="60" t="n">
        <x:v>4</x:v>
      </x:c>
      <x:c r="R28" s="60" t="n">
        <x:v>4</x:v>
      </x:c>
      <x:c r="S28" s="68" t="n">
        <x:f>ROUND(AVERAGE(M28:R28),1)</x:f>
        <x:v>4.2</x:v>
      </x:c>
      <x:c r="T28" s="60" t="str">
        <x:f>IF(S28&gt;=4.3,"Alta",IF(S28&gt;=3.5,"Media-alta",IF(S28&gt;=2.7,"Media",IF(S28&gt;=2,"Baja","Muy baja"))))</x:f>
        <x:v>Media-alta</x:v>
      </x:c>
      <x:c r="U28" s="52" t="str">
        <x:v>Cobertura nacional y fuente audiovisual pública</x:v>
      </x:c>
      <x:c r="V28" s="52" t="str">
        <x:v>Moderada</x:v>
      </x:c>
      <x:c r="W28" s="52" t="str">
        <x:v>N12, Channel 13 y prensa escrita</x:v>
      </x:c>
      <x:c r="X28" s="52" t="str">
        <x:v>Activo</x:v>
      </x:c>
      <x:c r="Y28" s="52" t="str"/>
      <x:c r="Z28" s="80" t="str">
        <x:v>https://www.kan.org.il/</x:v>
      </x:c>
      <x:c r="AA28" s="64" t="n">
        <x:v>46219</x:v>
      </x:c>
    </x:row>
    <x:row r="29">
      <x:c r="A29" s="60" t="n">
        <x:v>25</x:v>
      </x:c>
      <x:c r="B29" s="72" t="str">
        <x:v>Khaleej Times</x:v>
      </x:c>
      <x:c r="C29" s="76" t="str">
        <x:v>https://www.khaleejtimes.com/</x:v>
      </x:c>
      <x:c r="D29" s="52" t="str">
        <x:v>Emiratos Árabes Unidos</x:v>
      </x:c>
      <x:c r="E29" s="52" t="str">
        <x:v>Medio Oriente</x:v>
      </x:c>
      <x:c r="F29" s="52" t="str">
        <x:v>Inglés</x:v>
      </x:c>
      <x:c r="G29" s="52" t="str">
        <x:v>Medio regional</x:v>
      </x:c>
      <x:c r="H29" s="52" t="str">
        <x:v>Noticias generales y económicas</x:v>
      </x:c>
      <x:c r="I29" s="52" t="str">
        <x:v>Privado comercial en entorno altamente regulado</x:v>
      </x:c>
      <x:c r="J29" s="52" t="str">
        <x:v>Privado/regulado</x:v>
      </x:c>
      <x:c r="K29" s="52" t="str">
        <x:v>Proinstitucional</x:v>
      </x:c>
      <x:c r="L29" s="52" t="str">
        <x:v>Emiratí / Golfo</x:v>
      </x:c>
      <x:c r="M29" s="60" t="n">
        <x:v>3</x:v>
      </x:c>
      <x:c r="N29" s="60" t="n">
        <x:v>2</x:v>
      </x:c>
      <x:c r="O29" s="60" t="n">
        <x:v>3</x:v>
      </x:c>
      <x:c r="P29" s="60" t="n">
        <x:v>3</x:v>
      </x:c>
      <x:c r="Q29" s="60" t="n">
        <x:v>3</x:v>
      </x:c>
      <x:c r="R29" s="60" t="n">
        <x:v>4</x:v>
      </x:c>
      <x:c r="S29" s="68" t="n">
        <x:f>ROUND(AVERAGE(M29:R29),1)</x:f>
        <x:v>3</x:v>
      </x:c>
      <x:c r="T29" s="60" t="str">
        <x:f>IF(S29&gt;=4.3,"Alta",IF(S29&gt;=3.5,"Media-alta",IF(S29&gt;=2.7,"Media",IF(S29&gt;=2,"Baja","Muy baja"))))</x:f>
        <x:v>Media</x:v>
      </x:c>
      <x:c r="U29" s="52" t="str">
        <x:v>Economía y vida regional del Golfo</x:v>
      </x:c>
      <x:c r="V29" s="52" t="str">
        <x:v>Alta en asuntos internos sensibles</x:v>
      </x:c>
      <x:c r="W29" s="52" t="str">
        <x:v>Reuters, AFP y medios regionales independientes</x:v>
      </x:c>
      <x:c r="X29" s="52" t="str">
        <x:v>Uso condicionado</x:v>
      </x:c>
      <x:c r="Y29" s="52" t="str"/>
      <x:c r="Z29" s="80" t="str">
        <x:v>https://www.khaleejtimes.com/</x:v>
      </x:c>
      <x:c r="AA29" s="64" t="n">
        <x:v>46219</x:v>
      </x:c>
    </x:row>
    <x:row r="30">
      <x:c r="A30" s="60" t="n">
        <x:v>26</x:v>
      </x:c>
      <x:c r="B30" s="72" t="str">
        <x:v>Maariv</x:v>
      </x:c>
      <x:c r="C30" s="76" t="str">
        <x:v>https://www.maariv.co.il/</x:v>
      </x:c>
      <x:c r="D30" s="52" t="str">
        <x:v>Israel</x:v>
      </x:c>
      <x:c r="E30" s="52" t="str">
        <x:v>Medio Oriente</x:v>
      </x:c>
      <x:c r="F30" s="52" t="str">
        <x:v>Hebreo</x:v>
      </x:c>
      <x:c r="G30" s="52" t="str">
        <x:v>Medio generalista</x:v>
      </x:c>
      <x:c r="H30" s="52" t="str">
        <x:v>Noticias y opinión</x:v>
      </x:c>
      <x:c r="I30" s="52" t="str">
        <x:v>Privado comercial</x:v>
      </x:c>
      <x:c r="J30" s="52" t="str">
        <x:v>Privado</x:v>
      </x:c>
      <x:c r="K30" s="52" t="str">
        <x:v>Centro-derecha</x:v>
      </x:c>
      <x:c r="L30" s="52" t="str">
        <x:v>Israelí</x:v>
      </x:c>
      <x:c r="M30" s="60" t="n">
        <x:v>4</x:v>
      </x:c>
      <x:c r="N30" s="60" t="n">
        <x:v>3</x:v>
      </x:c>
      <x:c r="O30" s="60" t="n">
        <x:v>3</x:v>
      </x:c>
      <x:c r="P30" s="60" t="n">
        <x:v>3</x:v>
      </x:c>
      <x:c r="Q30" s="60" t="n">
        <x:v>3</x:v>
      </x:c>
      <x:c r="R30" s="60" t="n">
        <x:v>3</x:v>
      </x:c>
      <x:c r="S30" s="68" t="n">
        <x:f>ROUND(AVERAGE(M30:R30),1)</x:f>
        <x:v>3.2</x:v>
      </x:c>
      <x:c r="T30" s="60" t="str">
        <x:f>IF(S30&gt;=4.3,"Alta",IF(S30&gt;=3.5,"Media-alta",IF(S30&gt;=2.7,"Media",IF(S30&gt;=2,"Baja","Muy baja"))))</x:f>
        <x:v>Media</x:v>
      </x:c>
      <x:c r="U30" s="52" t="str">
        <x:v>Política y sociedad israelí</x:v>
      </x:c>
      <x:c r="V30" s="52" t="str">
        <x:v>Moderada</x:v>
      </x:c>
      <x:c r="W30" s="52" t="str">
        <x:v>Kan, Haaretz, Ynet y fuentes oficiales</x:v>
      </x:c>
      <x:c r="X30" s="52" t="str">
        <x:v>Activo</x:v>
      </x:c>
      <x:c r="Y30" s="52" t="str"/>
      <x:c r="Z30" s="80" t="str">
        <x:v>https://www.maariv.co.il/</x:v>
      </x:c>
      <x:c r="AA30" s="64" t="n">
        <x:v>46219</x:v>
      </x:c>
    </x:row>
    <x:row r="31">
      <x:c r="A31" s="60" t="n">
        <x:v>27</x:v>
      </x:c>
      <x:c r="B31" s="72" t="str">
        <x:v>N12 (Israel)</x:v>
      </x:c>
      <x:c r="C31" s="76" t="str">
        <x:v>https://www.n12.co.il/</x:v>
      </x:c>
      <x:c r="D31" s="52" t="str">
        <x:v>Israel</x:v>
      </x:c>
      <x:c r="E31" s="52" t="str">
        <x:v>Medio Oriente</x:v>
      </x:c>
      <x:c r="F31" s="52" t="str">
        <x:v>Hebreo</x:v>
      </x:c>
      <x:c r="G31" s="52" t="str">
        <x:v>Portal de noticias de televisión</x:v>
      </x:c>
      <x:c r="H31" s="52" t="str">
        <x:v>Noticias nacionales y breaking news</x:v>
      </x:c>
      <x:c r="I31" s="52" t="str">
        <x:v>Privado comercial</x:v>
      </x:c>
      <x:c r="J31" s="52" t="str">
        <x:v>Privado</x:v>
      </x:c>
      <x:c r="K31" s="52" t="str">
        <x:v>Centro; variable por programa</x:v>
      </x:c>
      <x:c r="L31" s="52" t="str">
        <x:v>Israelí</x:v>
      </x:c>
      <x:c r="M31" s="60" t="n">
        <x:v>4</x:v>
      </x:c>
      <x:c r="N31" s="60" t="n">
        <x:v>3</x:v>
      </x:c>
      <x:c r="O31" s="60" t="n">
        <x:v>3</x:v>
      </x:c>
      <x:c r="P31" s="60" t="n">
        <x:v>4</x:v>
      </x:c>
      <x:c r="Q31" s="60" t="n">
        <x:v>4</x:v>
      </x:c>
      <x:c r="R31" s="60" t="n">
        <x:v>3</x:v>
      </x:c>
      <x:c r="S31" s="68" t="n">
        <x:f>ROUND(AVERAGE(M31:R31),1)</x:f>
        <x:v>3.5</x:v>
      </x:c>
      <x:c r="T31" s="60" t="str">
        <x:f>IF(S31&gt;=4.3,"Alta",IF(S31&gt;=3.5,"Media-alta",IF(S31&gt;=2.7,"Media",IF(S31&gt;=2,"Baja","Muy baja"))))</x:f>
        <x:v>Media-alta</x:v>
      </x:c>
      <x:c r="U31" s="52" t="str">
        <x:v>Noticias urgentes y política israelí</x:v>
      </x:c>
      <x:c r="V31" s="52" t="str">
        <x:v>Moderada</x:v>
      </x:c>
      <x:c r="W31" s="52" t="str">
        <x:v>Kan, Channel 13 y documentos oficiales</x:v>
      </x:c>
      <x:c r="X31" s="52" t="str">
        <x:v>Activo</x:v>
      </x:c>
      <x:c r="Y31" s="52" t="str"/>
      <x:c r="Z31" s="80" t="str">
        <x:v>https://www.n12.co.il/</x:v>
      </x:c>
      <x:c r="AA31" s="64" t="n">
        <x:v>46219</x:v>
      </x:c>
    </x:row>
    <x:row r="32">
      <x:c r="A32" s="60" t="n">
        <x:v>28</x:v>
      </x:c>
      <x:c r="B32" s="72" t="str">
        <x:v>The Times of Israel</x:v>
      </x:c>
      <x:c r="C32" s="76" t="str">
        <x:v>https://www.timesofisrael.com/</x:v>
      </x:c>
      <x:c r="D32" s="52" t="str">
        <x:v>Israel; alcance internacional</x:v>
      </x:c>
      <x:c r="E32" s="52" t="str">
        <x:v>Medio Oriente</x:v>
      </x:c>
      <x:c r="F32" s="52" t="str">
        <x:v>Inglés/Hebreo/Árabe</x:v>
      </x:c>
      <x:c r="G32" s="52" t="str">
        <x:v>Medio digital generalista</x:v>
      </x:c>
      <x:c r="H32" s="52" t="str">
        <x:v>Noticias y análisis</x:v>
      </x:c>
      <x:c r="I32" s="52" t="str">
        <x:v>Privado/independiente</x:v>
      </x:c>
      <x:c r="J32" s="52" t="str">
        <x:v>Privado</x:v>
      </x:c>
      <x:c r="K32" s="52" t="str">
        <x:v>Centro liberal</x:v>
      </x:c>
      <x:c r="L32" s="52" t="str">
        <x:v>Israelí / diáspora judía</x:v>
      </x:c>
      <x:c r="M32" s="60" t="n">
        <x:v>4</x:v>
      </x:c>
      <x:c r="N32" s="60" t="n">
        <x:v>4</x:v>
      </x:c>
      <x:c r="O32" s="60" t="n">
        <x:v>4</x:v>
      </x:c>
      <x:c r="P32" s="60" t="n">
        <x:v>4</x:v>
      </x:c>
      <x:c r="Q32" s="60" t="n">
        <x:v>4</x:v>
      </x:c>
      <x:c r="R32" s="60" t="n">
        <x:v>4</x:v>
      </x:c>
      <x:c r="S32" s="68" t="n">
        <x:f>ROUND(AVERAGE(M32:R32),1)</x:f>
        <x:v>4</x:v>
      </x:c>
      <x:c r="T32" s="60" t="str">
        <x:f>IF(S32&gt;=4.3,"Alta",IF(S32&gt;=3.5,"Media-alta",IF(S32&gt;=2.7,"Media",IF(S32&gt;=2,"Baja","Muy baja"))))</x:f>
        <x:v>Media-alta</x:v>
      </x:c>
      <x:c r="U32" s="52" t="str">
        <x:v>Israel y Medio Oriente para audiencia internacional</x:v>
      </x:c>
      <x:c r="V32" s="52" t="str">
        <x:v>Moderada</x:v>
      </x:c>
      <x:c r="W32" s="52" t="str">
        <x:v>Reuters, Kan, medios árabes y documentos</x:v>
      </x:c>
      <x:c r="X32" s="52" t="str">
        <x:v>Activo</x:v>
      </x:c>
      <x:c r="Y32" s="52" t="str"/>
      <x:c r="Z32" s="80" t="str">
        <x:v>https://www.timesofisrael.com/</x:v>
      </x:c>
      <x:c r="AA32" s="64" t="n">
        <x:v>46219</x:v>
      </x:c>
    </x:row>
    <x:row r="33">
      <x:c r="A33" s="60" t="n">
        <x:v>29</x:v>
      </x:c>
      <x:c r="B33" s="72" t="str">
        <x:v>Ynet</x:v>
      </x:c>
      <x:c r="C33" s="76" t="str">
        <x:v>https://www.ynetnews.com/</x:v>
      </x:c>
      <x:c r="D33" s="52" t="str">
        <x:v>Israel</x:v>
      </x:c>
      <x:c r="E33" s="52" t="str">
        <x:v>Medio Oriente</x:v>
      </x:c>
      <x:c r="F33" s="52" t="str">
        <x:v>Hebreo/Inglés</x:v>
      </x:c>
      <x:c r="G33" s="52" t="str">
        <x:v>Portal generalista</x:v>
      </x:c>
      <x:c r="H33" s="52" t="str">
        <x:v>Noticias nacionales y opinión</x:v>
      </x:c>
      <x:c r="I33" s="52" t="str">
        <x:v>Privado comercial</x:v>
      </x:c>
      <x:c r="J33" s="52" t="str">
        <x:v>Privado</x:v>
      </x:c>
      <x:c r="K33" s="52" t="str">
        <x:v>Centro</x:v>
      </x:c>
      <x:c r="L33" s="52" t="str">
        <x:v>Israelí</x:v>
      </x:c>
      <x:c r="M33" s="60" t="n">
        <x:v>4</x:v>
      </x:c>
      <x:c r="N33" s="60" t="n">
        <x:v>3</x:v>
      </x:c>
      <x:c r="O33" s="60" t="n">
        <x:v>3</x:v>
      </x:c>
      <x:c r="P33" s="60" t="n">
        <x:v>4</x:v>
      </x:c>
      <x:c r="Q33" s="60" t="n">
        <x:v>3</x:v>
      </x:c>
      <x:c r="R33" s="60" t="n">
        <x:v>3</x:v>
      </x:c>
      <x:c r="S33" s="68" t="n">
        <x:f>ROUND(AVERAGE(M33:R33),1)</x:f>
        <x:v>3.3</x:v>
      </x:c>
      <x:c r="T33" s="60" t="str">
        <x:f>IF(S33&gt;=4.3,"Alta",IF(S33&gt;=3.5,"Media-alta",IF(S33&gt;=2.7,"Media",IF(S33&gt;=2,"Baja","Muy baja"))))</x:f>
        <x:v>Media</x:v>
      </x:c>
      <x:c r="U33" s="52" t="str">
        <x:v>Actualidad israelí de amplio alcance</x:v>
      </x:c>
      <x:c r="V33" s="52" t="str">
        <x:v>Moderada</x:v>
      </x:c>
      <x:c r="W33" s="52" t="str">
        <x:v>Kan, N12, Haaretz y fuentes oficiales</x:v>
      </x:c>
      <x:c r="X33" s="52" t="str">
        <x:v>Activo</x:v>
      </x:c>
      <x:c r="Y33" s="52" t="str"/>
      <x:c r="Z33" s="80" t="str">
        <x:v>https://www.ynetnews.com/</x:v>
      </x:c>
      <x:c r="AA33" s="64" t="n">
        <x:v>46219</x:v>
      </x:c>
    </x:row>
    <x:row r="34">
      <x:c r="A34" s="60" t="n">
        <x:v>30</x:v>
      </x:c>
      <x:c r="B34" s="72" t="str">
        <x:v>Middle East Eye</x:v>
      </x:c>
      <x:c r="C34" s="76" t="str">
        <x:v>https://www.middleeasteye.net/</x:v>
      </x:c>
      <x:c r="D34" s="52" t="str">
        <x:v>Reino Unido; foco regional</x:v>
      </x:c>
      <x:c r="E34" s="52" t="str">
        <x:v>Medio Oriente</x:v>
      </x:c>
      <x:c r="F34" s="52" t="str">
        <x:v>Inglés</x:v>
      </x:c>
      <x:c r="G34" s="52" t="str">
        <x:v>Medio regional independiente</x:v>
      </x:c>
      <x:c r="H34" s="52" t="str">
        <x:v>Noticias, investigación y opinión</x:v>
      </x:c>
      <x:c r="I34" s="52" t="str">
        <x:v>Privado; transparencia discutida</x:v>
      </x:c>
      <x:c r="J34" s="52" t="str">
        <x:v>Privado</x:v>
      </x:c>
      <x:c r="K34" s="52" t="str">
        <x:v>Centro-izquierda</x:v>
      </x:c>
      <x:c r="L34" s="52" t="str">
        <x:v>Regional / crítica de gobiernos occidentales e Israel</x:v>
      </x:c>
      <x:c r="M34" s="60" t="n">
        <x:v>3</x:v>
      </x:c>
      <x:c r="N34" s="60" t="n">
        <x:v>3</x:v>
      </x:c>
      <x:c r="O34" s="60" t="n">
        <x:v>2</x:v>
      </x:c>
      <x:c r="P34" s="60" t="n">
        <x:v>3</x:v>
      </x:c>
      <x:c r="Q34" s="60" t="n">
        <x:v>3</x:v>
      </x:c>
      <x:c r="R34" s="60" t="n">
        <x:v>3</x:v>
      </x:c>
      <x:c r="S34" s="68" t="n">
        <x:f>ROUND(AVERAGE(M34:R34),1)</x:f>
        <x:v>2.8</x:v>
      </x:c>
      <x:c r="T34" s="60" t="str">
        <x:f>IF(S34&gt;=4.3,"Alta",IF(S34&gt;=3.5,"Media-alta",IF(S34&gt;=2.7,"Media",IF(S34&gt;=2,"Baja","Muy baja"))))</x:f>
        <x:v>Media</x:v>
      </x:c>
      <x:c r="U34" s="52" t="str">
        <x:v>Perspectivas regionales y temas subcubiertos</x:v>
      </x:c>
      <x:c r="V34" s="52" t="str">
        <x:v>Alta</x:v>
      </x:c>
      <x:c r="W34" s="52" t="str">
        <x:v>Reuters/AP, medios locales y documentos primarios</x:v>
      </x:c>
      <x:c r="X34" s="52" t="str">
        <x:v>Uso condicionado</x:v>
      </x:c>
      <x:c r="Y34" s="52" t="str">
        <x:v>Útil para diversidad de perspectiva; no usar en solitario.</x:v>
      </x:c>
      <x:c r="Z34" s="80" t="str">
        <x:v>https://www.middleeasteye.net/</x:v>
      </x:c>
      <x:c r="AA34" s="64" t="n">
        <x:v>46219</x:v>
      </x:c>
    </x:row>
    <x:row r="35">
      <x:c r="A35" s="60" t="n">
        <x:v>31</x:v>
      </x:c>
      <x:c r="B35" s="72" t="str">
        <x:v>Mada Masr</x:v>
      </x:c>
      <x:c r="C35" s="76" t="str">
        <x:v>https://www.madamasr.com/en/</x:v>
      </x:c>
      <x:c r="D35" s="52" t="str">
        <x:v>Egipto</x:v>
      </x:c>
      <x:c r="E35" s="52" t="str">
        <x:v>África del Norte / Medio Oriente</x:v>
      </x:c>
      <x:c r="F35" s="52" t="str">
        <x:v>Árabe/Inglés</x:v>
      </x:c>
      <x:c r="G35" s="52" t="str">
        <x:v>Medio independiente</x:v>
      </x:c>
      <x:c r="H35" s="52" t="str">
        <x:v>Investigación y reportajes</x:v>
      </x:c>
      <x:c r="I35" s="52" t="str">
        <x:v>Independiente</x:v>
      </x:c>
      <x:c r="J35" s="52" t="str">
        <x:v>Independiente</x:v>
      </x:c>
      <x:c r="K35" s="52" t="str">
        <x:v>Progresista / derechos civiles</x:v>
      </x:c>
      <x:c r="L35" s="52" t="str">
        <x:v>Egipcia / regional</x:v>
      </x:c>
      <x:c r="M35" s="60" t="n">
        <x:v>4</x:v>
      </x:c>
      <x:c r="N35" s="60" t="n">
        <x:v>4</x:v>
      </x:c>
      <x:c r="O35" s="60" t="n">
        <x:v>4</x:v>
      </x:c>
      <x:c r="P35" s="60" t="n">
        <x:v>4</x:v>
      </x:c>
      <x:c r="Q35" s="60" t="n">
        <x:v>3</x:v>
      </x:c>
      <x:c r="R35" s="60" t="n">
        <x:v>4</x:v>
      </x:c>
      <x:c r="S35" s="68" t="n">
        <x:f>ROUND(AVERAGE(M35:R35),1)</x:f>
        <x:v>3.8</x:v>
      </x:c>
      <x:c r="T35" s="60" t="str">
        <x:f>IF(S35&gt;=4.3,"Alta",IF(S35&gt;=3.5,"Media-alta",IF(S35&gt;=2.7,"Media",IF(S35&gt;=2,"Baja","Muy baja"))))</x:f>
        <x:v>Media-alta</x:v>
      </x:c>
      <x:c r="U35" s="52" t="str">
        <x:v>Egipto, derechos y política regional</x:v>
      </x:c>
      <x:c r="V35" s="52" t="str">
        <x:v>Moderada</x:v>
      </x:c>
      <x:c r="W35" s="52" t="str">
        <x:v>Agencias y documentos oficiales</x:v>
      </x:c>
      <x:c r="X35" s="52" t="str">
        <x:v>Activo</x:v>
      </x:c>
      <x:c r="Y35" s="52" t="str"/>
      <x:c r="Z35" s="80" t="str">
        <x:v>https://www.madamasr.com/en/</x:v>
      </x:c>
      <x:c r="AA35" s="64" t="n">
        <x:v>46219</x:v>
      </x:c>
    </x:row>
    <x:row r="36">
      <x:c r="A36" s="60" t="n">
        <x:v>32</x:v>
      </x:c>
      <x:c r="B36" s="72" t="str">
        <x:v>Chatham House</x:v>
      </x:c>
      <x:c r="C36" s="76" t="str">
        <x:v>https://www.chathamhouse.org/</x:v>
      </x:c>
      <x:c r="D36" s="52" t="str">
        <x:v>Reino Unido; alcance global</x:v>
      </x:c>
      <x:c r="E36" s="52" t="str">
        <x:v>Global</x:v>
      </x:c>
      <x:c r="F36" s="52" t="str">
        <x:v>Inglés</x:v>
      </x:c>
      <x:c r="G36" s="52" t="str">
        <x:v>Think tank</x:v>
      </x:c>
      <x:c r="H36" s="52" t="str">
        <x:v>Análisis de políticas</x:v>
      </x:c>
      <x:c r="I36" s="52" t="str">
        <x:v>Organización sin fines de lucro</x:v>
      </x:c>
      <x:c r="J36" s="52" t="str">
        <x:v>ONG/think tank</x:v>
      </x:c>
      <x:c r="K36" s="52" t="str">
        <x:v>Centrista institucional</x:v>
      </x:c>
      <x:c r="L36" s="52" t="str">
        <x:v>Británica / multilateral</x:v>
      </x:c>
      <x:c r="M36" s="60" t="n">
        <x:v>4</x:v>
      </x:c>
      <x:c r="N36" s="60" t="n">
        <x:v>4</x:v>
      </x:c>
      <x:c r="O36" s="60" t="n">
        <x:v>5</x:v>
      </x:c>
      <x:c r="P36" s="60" t="n">
        <x:v>5</x:v>
      </x:c>
      <x:c r="Q36" s="60" t="n">
        <x:v>4</x:v>
      </x:c>
      <x:c r="R36" s="60" t="n">
        <x:v>5</x:v>
      </x:c>
      <x:c r="S36" s="68" t="n">
        <x:f>ROUND(AVERAGE(M36:R36),1)</x:f>
        <x:v>4.5</x:v>
      </x:c>
      <x:c r="T36" s="60" t="str">
        <x:f>IF(S36&gt;=4.3,"Alta",IF(S36&gt;=3.5,"Media-alta",IF(S36&gt;=2.7,"Media",IF(S36&gt;=2,"Baja","Muy baja"))))</x:f>
        <x:v>Alta</x:v>
      </x:c>
      <x:c r="U36" s="52" t="str">
        <x:v>Contexto estratégico y políticas públicas</x:v>
      </x:c>
      <x:c r="V36" s="52" t="str">
        <x:v>Moderada</x:v>
      </x:c>
      <x:c r="W36" s="52" t="str">
        <x:v>Datos primarios, trabajos académicos y otras escuelas</x:v>
      </x:c>
      <x:c r="X36" s="52" t="str">
        <x:v>Activo</x:v>
      </x:c>
      <x:c r="Y36" s="52" t="str"/>
      <x:c r="Z36" s="80" t="str">
        <x:v>https://www.chathamhouse.org/</x:v>
      </x:c>
      <x:c r="AA36" s="64" t="n">
        <x:v>46219</x:v>
      </x:c>
    </x:row>
    <x:row r="37">
      <x:c r="A37" s="60" t="n">
        <x:v>33</x:v>
      </x:c>
      <x:c r="B37" s="72" t="str">
        <x:v>ECFR</x:v>
      </x:c>
      <x:c r="C37" s="76" t="str">
        <x:v>https://ecfr.eu/</x:v>
      </x:c>
      <x:c r="D37" s="52" t="str">
        <x:v>Paneuropeo; oficinas en varias capitales</x:v>
      </x:c>
      <x:c r="E37" s="52" t="str">
        <x:v>Europa/Global</x:v>
      </x:c>
      <x:c r="F37" s="52" t="str">
        <x:v>Inglés y lenguas europeas</x:v>
      </x:c>
      <x:c r="G37" s="52" t="str">
        <x:v>Think tank</x:v>
      </x:c>
      <x:c r="H37" s="52" t="str">
        <x:v>Política exterior europea</x:v>
      </x:c>
      <x:c r="I37" s="52" t="str">
        <x:v>Organización sin fines de lucro</x:v>
      </x:c>
      <x:c r="J37" s="52" t="str">
        <x:v>ONG/think tank</x:v>
      </x:c>
      <x:c r="K37" s="52" t="str">
        <x:v>Europeísta liberal</x:v>
      </x:c>
      <x:c r="L37" s="52" t="str">
        <x:v>Europea estratégica</x:v>
      </x:c>
      <x:c r="M37" s="60" t="n">
        <x:v>4</x:v>
      </x:c>
      <x:c r="N37" s="60" t="n">
        <x:v>4</x:v>
      </x:c>
      <x:c r="O37" s="60" t="n">
        <x:v>5</x:v>
      </x:c>
      <x:c r="P37" s="60" t="n">
        <x:v>4</x:v>
      </x:c>
      <x:c r="Q37" s="60" t="n">
        <x:v>4</x:v>
      </x:c>
      <x:c r="R37" s="60" t="n">
        <x:v>5</x:v>
      </x:c>
      <x:c r="S37" s="68" t="n">
        <x:f>ROUND(AVERAGE(M37:R37),1)</x:f>
        <x:v>4.3</x:v>
      </x:c>
      <x:c r="T37" s="60" t="str">
        <x:f>IF(S37&gt;=4.3,"Alta",IF(S37&gt;=3.5,"Media-alta",IF(S37&gt;=2.7,"Media",IF(S37&gt;=2,"Baja","Muy baja"))))</x:f>
        <x:v>Alta</x:v>
      </x:c>
      <x:c r="U37" s="52" t="str">
        <x:v>Política exterior y seguridad europea</x:v>
      </x:c>
      <x:c r="V37" s="52" t="str">
        <x:v>Moderada</x:v>
      </x:c>
      <x:c r="W37" s="52" t="str">
        <x:v>Instituciones UE, think tanks nacionales y datos</x:v>
      </x:c>
      <x:c r="X37" s="52" t="str">
        <x:v>Activo</x:v>
      </x:c>
      <x:c r="Y37" s="52" t="str">
        <x:v>Corregido: paneuropeo, no Reino Unido/Bélgica.</x:v>
      </x:c>
      <x:c r="Z37" s="80" t="str">
        <x:v>https://ecfr.eu/contact/</x:v>
      </x:c>
      <x:c r="AA37" s="64" t="n">
        <x:v>46219</x:v>
      </x:c>
    </x:row>
    <x:row r="38">
      <x:c r="A38" s="60" t="n">
        <x:v>34</x:v>
      </x:c>
      <x:c r="B38" s="72" t="str">
        <x:v>European Journal of International Law (EJIL)</x:v>
      </x:c>
      <x:c r="C38" s="76" t="str">
        <x:v>https://www.ejil.org/</x:v>
      </x:c>
      <x:c r="D38" s="52" t="str">
        <x:v>Europa; comunidad académica global</x:v>
      </x:c>
      <x:c r="E38" s="52" t="str">
        <x:v>Global</x:v>
      </x:c>
      <x:c r="F38" s="52" t="str">
        <x:v>Inglés</x:v>
      </x:c>
      <x:c r="G38" s="52" t="str">
        <x:v>Revista académica</x:v>
      </x:c>
      <x:c r="H38" s="52" t="str">
        <x:v>Investigación jurídica revisada por pares</x:v>
      </x:c>
      <x:c r="I38" s="52" t="str">
        <x:v>Académica</x:v>
      </x:c>
      <x:c r="J38" s="52" t="str">
        <x:v>Académico</x:v>
      </x:c>
      <x:c r="K38" s="52" t="str">
        <x:v>Plural</x:v>
      </x:c>
      <x:c r="L38" s="52" t="str">
        <x:v>Derecho internacional</x:v>
      </x:c>
      <x:c r="M38" s="60" t="n">
        <x:v>5</x:v>
      </x:c>
      <x:c r="N38" s="60" t="n">
        <x:v>5</x:v>
      </x:c>
      <x:c r="O38" s="60" t="n">
        <x:v>5</x:v>
      </x:c>
      <x:c r="P38" s="60" t="n">
        <x:v>5</x:v>
      </x:c>
      <x:c r="Q38" s="60" t="n">
        <x:v>4</x:v>
      </x:c>
      <x:c r="R38" s="60" t="n">
        <x:v>5</x:v>
      </x:c>
      <x:c r="S38" s="68" t="n">
        <x:f>ROUND(AVERAGE(M38:R38),1)</x:f>
        <x:v>4.8</x:v>
      </x:c>
      <x:c r="T38" s="60" t="str">
        <x:f>IF(S38&gt;=4.3,"Alta",IF(S38&gt;=3.5,"Media-alta",IF(S38&gt;=2.7,"Media",IF(S38&gt;=2,"Baja","Muy baja"))))</x:f>
        <x:v>Alta</x:v>
      </x:c>
      <x:c r="U38" s="52" t="str">
        <x:v>Derecho internacional y jurisprudencia</x:v>
      </x:c>
      <x:c r="V38" s="52" t="str">
        <x:v>Baja a moderada</x:v>
      </x:c>
      <x:c r="W38" s="52" t="str">
        <x:v>Tratados, fallos y doctrina adicional</x:v>
      </x:c>
      <x:c r="X38" s="52" t="str">
        <x:v>Activo</x:v>
      </x:c>
      <x:c r="Y38" s="52" t="str"/>
      <x:c r="Z38" s="80" t="str">
        <x:v>https://www.ejil.org/</x:v>
      </x:c>
      <x:c r="AA38" s="64" t="n">
        <x:v>46219</x:v>
      </x:c>
    </x:row>
    <x:row r="39">
      <x:c r="A39" s="60" t="n">
        <x:v>35</x:v>
      </x:c>
      <x:c r="B39" s="72" t="str">
        <x:v>Eurasia Group</x:v>
      </x:c>
      <x:c r="C39" s="76" t="str">
        <x:v>https://www.eurasiagroup.net/</x:v>
      </x:c>
      <x:c r="D39" s="52" t="str">
        <x:v>Estados Unidos; alcance global</x:v>
      </x:c>
      <x:c r="E39" s="52" t="str">
        <x:v>Global</x:v>
      </x:c>
      <x:c r="F39" s="52" t="str">
        <x:v>Inglés</x:v>
      </x:c>
      <x:c r="G39" s="52" t="str">
        <x:v>Consultoría</x:v>
      </x:c>
      <x:c r="H39" s="52" t="str">
        <x:v>Riesgo político y escenarios</x:v>
      </x:c>
      <x:c r="I39" s="52" t="str">
        <x:v>Privado comercial</x:v>
      </x:c>
      <x:c r="J39" s="52" t="str">
        <x:v>Privado</x:v>
      </x:c>
      <x:c r="K39" s="52" t="str">
        <x:v>Pragmática / promercado</x:v>
      </x:c>
      <x:c r="L39" s="52" t="str">
        <x:v>Riesgo para empresas e inversores</x:v>
      </x:c>
      <x:c r="M39" s="60" t="n">
        <x:v>4</x:v>
      </x:c>
      <x:c r="N39" s="60" t="n">
        <x:v>3</x:v>
      </x:c>
      <x:c r="O39" s="60" t="n">
        <x:v>4</x:v>
      </x:c>
      <x:c r="P39" s="60" t="n">
        <x:v>4</x:v>
      </x:c>
      <x:c r="Q39" s="60" t="n">
        <x:v>3</x:v>
      </x:c>
      <x:c r="R39" s="60" t="n">
        <x:v>4</x:v>
      </x:c>
      <x:c r="S39" s="68" t="n">
        <x:f>ROUND(AVERAGE(M39:R39),1)</x:f>
        <x:v>3.7</x:v>
      </x:c>
      <x:c r="T39" s="60" t="str">
        <x:f>IF(S39&gt;=4.3,"Alta",IF(S39&gt;=3.5,"Media-alta",IF(S39&gt;=2.7,"Media",IF(S39&gt;=2,"Baja","Muy baja"))))</x:f>
        <x:v>Media-alta</x:v>
      </x:c>
      <x:c r="U39" s="52" t="str">
        <x:v>Escenarios y riesgo geopolítico</x:v>
      </x:c>
      <x:c r="V39" s="52" t="str">
        <x:v>Moderada</x:v>
      </x:c>
      <x:c r="W39" s="52" t="str">
        <x:v>Fuentes públicas, bancos centrales y análisis alternativos</x:v>
      </x:c>
      <x:c r="X39" s="52" t="str">
        <x:v>Activo</x:v>
      </x:c>
      <x:c r="Y39" s="52" t="str">
        <x:v>Distinguir investigación pública de productos comerciales.</x:v>
      </x:c>
      <x:c r="Z39" s="80" t="str">
        <x:v>https://www.eurasiagroup.net/</x:v>
      </x:c>
      <x:c r="AA39" s="64" t="n">
        <x:v>46219</x:v>
      </x:c>
    </x:row>
    <x:row r="40">
      <x:c r="A40" s="60" t="n">
        <x:v>36</x:v>
      </x:c>
      <x:c r="B40" s="72" t="str">
        <x:v>IISS</x:v>
      </x:c>
      <x:c r="C40" s="76" t="str">
        <x:v>https://www.iiss.org/</x:v>
      </x:c>
      <x:c r="D40" s="52" t="str">
        <x:v>Reino Unido; alcance global</x:v>
      </x:c>
      <x:c r="E40" s="52" t="str">
        <x:v>Global</x:v>
      </x:c>
      <x:c r="F40" s="52" t="str">
        <x:v>Inglés</x:v>
      </x:c>
      <x:c r="G40" s="52" t="str">
        <x:v>Think tank</x:v>
      </x:c>
      <x:c r="H40" s="52" t="str">
        <x:v>Defensa, seguridad y equilibrio militar</x:v>
      </x:c>
      <x:c r="I40" s="52" t="str">
        <x:v>Organización sin fines de lucro</x:v>
      </x:c>
      <x:c r="J40" s="52" t="str">
        <x:v>ONG/think tank</x:v>
      </x:c>
      <x:c r="K40" s="52" t="str">
        <x:v>Centrista / seguridad nacional</x:v>
      </x:c>
      <x:c r="L40" s="52" t="str">
        <x:v>Transatlántica</x:v>
      </x:c>
      <x:c r="M40" s="60" t="n">
        <x:v>5</x:v>
      </x:c>
      <x:c r="N40" s="60" t="n">
        <x:v>4</x:v>
      </x:c>
      <x:c r="O40" s="60" t="n">
        <x:v>5</x:v>
      </x:c>
      <x:c r="P40" s="60" t="n">
        <x:v>5</x:v>
      </x:c>
      <x:c r="Q40" s="60" t="n">
        <x:v>4</x:v>
      </x:c>
      <x:c r="R40" s="60" t="n">
        <x:v>5</x:v>
      </x:c>
      <x:c r="S40" s="68" t="n">
        <x:f>ROUND(AVERAGE(M40:R40),1)</x:f>
        <x:v>4.7</x:v>
      </x:c>
      <x:c r="T40" s="60" t="str">
        <x:f>IF(S40&gt;=4.3,"Alta",IF(S40&gt;=3.5,"Media-alta",IF(S40&gt;=2.7,"Media",IF(S40&gt;=2,"Baja","Muy baja"))))</x:f>
        <x:v>Alta</x:v>
      </x:c>
      <x:c r="U40" s="52" t="str">
        <x:v>Defensa, capacidades militares y estrategia</x:v>
      </x:c>
      <x:c r="V40" s="52" t="str">
        <x:v>Moderada</x:v>
      </x:c>
      <x:c r="W40" s="52" t="str">
        <x:v>SIPRI, presupuestos y fuentes militares contrapuestas</x:v>
      </x:c>
      <x:c r="X40" s="52" t="str">
        <x:v>Activo</x:v>
      </x:c>
      <x:c r="Y40" s="52" t="str"/>
      <x:c r="Z40" s="80" t="str">
        <x:v>https://www.iiss.org/</x:v>
      </x:c>
      <x:c r="AA40" s="64" t="n">
        <x:v>46219</x:v>
      </x:c>
    </x:row>
    <x:row r="41">
      <x:c r="A41" s="60" t="n">
        <x:v>37</x:v>
      </x:c>
      <x:c r="B41" s="72" t="str">
        <x:v>INSS</x:v>
      </x:c>
      <x:c r="C41" s="76" t="str">
        <x:v>https://www.inss.org.il/</x:v>
      </x:c>
      <x:c r="D41" s="52" t="str">
        <x:v>Israel</x:v>
      </x:c>
      <x:c r="E41" s="52" t="str">
        <x:v>Medio Oriente</x:v>
      </x:c>
      <x:c r="F41" s="52" t="str">
        <x:v>Hebreo/Inglés</x:v>
      </x:c>
      <x:c r="G41" s="52" t="str">
        <x:v>Think tank</x:v>
      </x:c>
      <x:c r="H41" s="52" t="str">
        <x:v>Seguridad nacional y estrategia</x:v>
      </x:c>
      <x:c r="I41" s="52" t="str">
        <x:v>Instituto sin fines de lucro</x:v>
      </x:c>
      <x:c r="J41" s="52" t="str">
        <x:v>ONG/think tank</x:v>
      </x:c>
      <x:c r="K41" s="52" t="str">
        <x:v>Establishment de seguridad; plural interno</x:v>
      </x:c>
      <x:c r="L41" s="52" t="str">
        <x:v>Israelí / seguridad nacional</x:v>
      </x:c>
      <x:c r="M41" s="60" t="n">
        <x:v>4</x:v>
      </x:c>
      <x:c r="N41" s="60" t="n">
        <x:v>4</x:v>
      </x:c>
      <x:c r="O41" s="60" t="n">
        <x:v>4</x:v>
      </x:c>
      <x:c r="P41" s="60" t="n">
        <x:v>4</x:v>
      </x:c>
      <x:c r="Q41" s="60" t="n">
        <x:v>3</x:v>
      </x:c>
      <x:c r="R41" s="60" t="n">
        <x:v>4</x:v>
      </x:c>
      <x:c r="S41" s="68" t="n">
        <x:f>ROUND(AVERAGE(M41:R41),1)</x:f>
        <x:v>3.8</x:v>
      </x:c>
      <x:c r="T41" s="60" t="str">
        <x:f>IF(S41&gt;=4.3,"Alta",IF(S41&gt;=3.5,"Media-alta",IF(S41&gt;=2.7,"Media",IF(S41&gt;=2,"Baja","Muy baja"))))</x:f>
        <x:v>Media-alta</x:v>
      </x:c>
      <x:c r="U41" s="52" t="str">
        <x:v>Seguridad israelí y escenarios regionales</x:v>
      </x:c>
      <x:c r="V41" s="52" t="str">
        <x:v>Moderada-alta</x:v>
      </x:c>
      <x:c r="W41" s="52" t="str">
        <x:v>Think tanks árabes, IISS, RUSI y fuentes primarias</x:v>
      </x:c>
      <x:c r="X41" s="52" t="str">
        <x:v>Activo</x:v>
      </x:c>
      <x:c r="Y41" s="52" t="str"/>
      <x:c r="Z41" s="80" t="str">
        <x:v>https://www.inss.org.il/</x:v>
      </x:c>
      <x:c r="AA41" s="64" t="n">
        <x:v>46219</x:v>
      </x:c>
    </x:row>
    <x:row r="42">
      <x:c r="A42" s="60" t="n">
        <x:v>38</x:v>
      </x:c>
      <x:c r="B42" s="72" t="str">
        <x:v>Le Grand Continent</x:v>
      </x:c>
      <x:c r="C42" s="76" t="str">
        <x:v>https://legrandcontinent.eu/</x:v>
      </x:c>
      <x:c r="D42" s="52" t="str">
        <x:v>Francia / Europa</x:v>
      </x:c>
      <x:c r="E42" s="52" t="str">
        <x:v>Europa/Global</x:v>
      </x:c>
      <x:c r="F42" s="52" t="str">
        <x:v>Francés y otros</x:v>
      </x:c>
      <x:c r="G42" s="52" t="str">
        <x:v>Revista de ideas / think tank</x:v>
      </x:c>
      <x:c r="H42" s="52" t="str">
        <x:v>Ensayo, análisis y debate intelectual</x:v>
      </x:c>
      <x:c r="I42" s="52" t="str">
        <x:v>Organización intelectual</x:v>
      </x:c>
      <x:c r="J42" s="52" t="str">
        <x:v>ONG/intelectual</x:v>
      </x:c>
      <x:c r="K42" s="52" t="str">
        <x:v>Europeísta</x:v>
      </x:c>
      <x:c r="L42" s="52" t="str">
        <x:v>Europa continental</x:v>
      </x:c>
      <x:c r="M42" s="60" t="n">
        <x:v>4</x:v>
      </x:c>
      <x:c r="N42" s="60" t="n">
        <x:v>4</x:v>
      </x:c>
      <x:c r="O42" s="60" t="n">
        <x:v>4</x:v>
      </x:c>
      <x:c r="P42" s="60" t="n">
        <x:v>4</x:v>
      </x:c>
      <x:c r="Q42" s="60" t="n">
        <x:v>3</x:v>
      </x:c>
      <x:c r="R42" s="60" t="n">
        <x:v>4</x:v>
      </x:c>
      <x:c r="S42" s="68" t="n">
        <x:f>ROUND(AVERAGE(M42:R42),1)</x:f>
        <x:v>3.8</x:v>
      </x:c>
      <x:c r="T42" s="60" t="str">
        <x:f>IF(S42&gt;=4.3,"Alta",IF(S42&gt;=3.5,"Media-alta",IF(S42&gt;=2.7,"Media",IF(S42&gt;=2,"Baja","Muy baja"))))</x:f>
        <x:v>Media-alta</x:v>
      </x:c>
      <x:c r="U42" s="52" t="str">
        <x:v>Debate estratégico europeo y largo formato</x:v>
      </x:c>
      <x:c r="V42" s="52" t="str">
        <x:v>Moderada</x:v>
      </x:c>
      <x:c r="W42" s="52" t="str">
        <x:v>Datos, prensa y autores con enfoques distintos</x:v>
      </x:c>
      <x:c r="X42" s="52" t="str">
        <x:v>Activo</x:v>
      </x:c>
      <x:c r="Y42" s="52" t="str"/>
      <x:c r="Z42" s="80" t="str">
        <x:v>https://legrandcontinent.eu/</x:v>
      </x:c>
      <x:c r="AA42" s="64" t="n">
        <x:v>46219</x:v>
      </x:c>
    </x:row>
    <x:row r="43">
      <x:c r="A43" s="60" t="n">
        <x:v>39</x:v>
      </x:c>
      <x:c r="B43" s="72" t="str">
        <x:v>Long War Journal</x:v>
      </x:c>
      <x:c r="C43" s="76" t="str">
        <x:v>https://www.longwarjournal.org/</x:v>
      </x:c>
      <x:c r="D43" s="52" t="str">
        <x:v>Estados Unidos</x:v>
      </x:c>
      <x:c r="E43" s="52" t="str">
        <x:v>Global</x:v>
      </x:c>
      <x:c r="F43" s="52" t="str">
        <x:v>Inglés</x:v>
      </x:c>
      <x:c r="G43" s="52" t="str">
        <x:v>Análisis de seguridad</x:v>
      </x:c>
      <x:c r="H43" s="52" t="str">
        <x:v>Seguimiento de conflictos y grupos armados</x:v>
      </x:c>
      <x:c r="I43" s="52" t="str">
        <x:v>Proyecto de organización de seguridad</x:v>
      </x:c>
      <x:c r="J43" s="52" t="str">
        <x:v>ONG/think tank</x:v>
      </x:c>
      <x:c r="K43" s="52" t="str">
        <x:v>Halcón / contraterrorismo</x:v>
      </x:c>
      <x:c r="L43" s="52" t="str">
        <x:v>Estadounidense / seguridad nacional</x:v>
      </x:c>
      <x:c r="M43" s="60" t="n">
        <x:v>4</x:v>
      </x:c>
      <x:c r="N43" s="60" t="n">
        <x:v>3</x:v>
      </x:c>
      <x:c r="O43" s="60" t="n">
        <x:v>4</x:v>
      </x:c>
      <x:c r="P43" s="60" t="n">
        <x:v>4</x:v>
      </x:c>
      <x:c r="Q43" s="60" t="n">
        <x:v>3</x:v>
      </x:c>
      <x:c r="R43" s="60" t="n">
        <x:v>3</x:v>
      </x:c>
      <x:c r="S43" s="68" t="n">
        <x:f>ROUND(AVERAGE(M43:R43),1)</x:f>
        <x:v>3.5</x:v>
      </x:c>
      <x:c r="T43" s="60" t="str">
        <x:f>IF(S43&gt;=4.3,"Alta",IF(S43&gt;=3.5,"Media-alta",IF(S43&gt;=2.7,"Media",IF(S43&gt;=2,"Baja","Muy baja"))))</x:f>
        <x:v>Media-alta</x:v>
      </x:c>
      <x:c r="U43" s="52" t="str">
        <x:v>Conflictos y organizaciones yihadistas</x:v>
      </x:c>
      <x:c r="V43" s="52" t="str">
        <x:v>Alta</x:v>
      </x:c>
      <x:c r="W43" s="52" t="str">
        <x:v>ACLED, ONU, prensa local y fuentes independientes</x:v>
      </x:c>
      <x:c r="X43" s="52" t="str">
        <x:v>Uso condicionado</x:v>
      </x:c>
      <x:c r="Y43" s="52" t="str"/>
      <x:c r="Z43" s="80" t="str">
        <x:v>https://www.longwarjournal.org/</x:v>
      </x:c>
      <x:c r="AA43" s="64" t="n">
        <x:v>46219</x:v>
      </x:c>
    </x:row>
    <x:row r="44">
      <x:c r="A44" s="60" t="n">
        <x:v>40</x:v>
      </x:c>
      <x:c r="B44" s="72" t="str">
        <x:v>RUSI</x:v>
      </x:c>
      <x:c r="C44" s="76" t="str">
        <x:v>https://www.rusi.org/</x:v>
      </x:c>
      <x:c r="D44" s="52" t="str">
        <x:v>Reino Unido; alcance global</x:v>
      </x:c>
      <x:c r="E44" s="52" t="str">
        <x:v>Global</x:v>
      </x:c>
      <x:c r="F44" s="52" t="str">
        <x:v>Inglés</x:v>
      </x:c>
      <x:c r="G44" s="52" t="str">
        <x:v>Think tank</x:v>
      </x:c>
      <x:c r="H44" s="52" t="str">
        <x:v>Defensa, seguridad y tecnología</x:v>
      </x:c>
      <x:c r="I44" s="52" t="str">
        <x:v>Organización benéfica independiente</x:v>
      </x:c>
      <x:c r="J44" s="52" t="str">
        <x:v>ONG/think tank</x:v>
      </x:c>
      <x:c r="K44" s="52" t="str">
        <x:v>Centrista / seguridad nacional</x:v>
      </x:c>
      <x:c r="L44" s="52" t="str">
        <x:v>Británica / transatlántica</x:v>
      </x:c>
      <x:c r="M44" s="60" t="n">
        <x:v>5</x:v>
      </x:c>
      <x:c r="N44" s="60" t="n">
        <x:v>4</x:v>
      </x:c>
      <x:c r="O44" s="60" t="n">
        <x:v>5</x:v>
      </x:c>
      <x:c r="P44" s="60" t="n">
        <x:v>5</x:v>
      </x:c>
      <x:c r="Q44" s="60" t="n">
        <x:v>4</x:v>
      </x:c>
      <x:c r="R44" s="60" t="n">
        <x:v>5</x:v>
      </x:c>
      <x:c r="S44" s="68" t="n">
        <x:f>ROUND(AVERAGE(M44:R44),1)</x:f>
        <x:v>4.7</x:v>
      </x:c>
      <x:c r="T44" s="60" t="str">
        <x:f>IF(S44&gt;=4.3,"Alta",IF(S44&gt;=3.5,"Media-alta",IF(S44&gt;=2.7,"Media",IF(S44&gt;=2,"Baja","Muy baja"))))</x:f>
        <x:v>Alta</x:v>
      </x:c>
      <x:c r="U44" s="52" t="str">
        <x:v>Defensa, inteligencia y guerra tecnológica</x:v>
      </x:c>
      <x:c r="V44" s="52" t="str">
        <x:v>Moderada</x:v>
      </x:c>
      <x:c r="W44" s="52" t="str">
        <x:v>IISS, SIPRI y fuentes primarias</x:v>
      </x:c>
      <x:c r="X44" s="52" t="str">
        <x:v>Activo</x:v>
      </x:c>
      <x:c r="Y44" s="52" t="str"/>
      <x:c r="Z44" s="80" t="str">
        <x:v>https://www.rusi.org/</x:v>
      </x:c>
      <x:c r="AA44" s="64" t="n">
        <x:v>46219</x:v>
      </x:c>
    </x:row>
    <x:row r="45">
      <x:c r="A45" s="60" t="n">
        <x:v>41</x:v>
      </x:c>
      <x:c r="B45" s="72" t="str">
        <x:v>Sciences Po - CERI</x:v>
      </x:c>
      <x:c r="C45" s="76" t="str">
        <x:v>https://www.sciencespo.fr/ceri/en/</x:v>
      </x:c>
      <x:c r="D45" s="52" t="str">
        <x:v>Francia</x:v>
      </x:c>
      <x:c r="E45" s="52" t="str">
        <x:v>Europa/Global</x:v>
      </x:c>
      <x:c r="F45" s="52" t="str">
        <x:v>Francés/Inglés</x:v>
      </x:c>
      <x:c r="G45" s="52" t="str">
        <x:v>Centro académico</x:v>
      </x:c>
      <x:c r="H45" s="52" t="str">
        <x:v>Investigación en relaciones internacionales</x:v>
      </x:c>
      <x:c r="I45" s="52" t="str">
        <x:v>Académica</x:v>
      </x:c>
      <x:c r="J45" s="52" t="str">
        <x:v>Académico</x:v>
      </x:c>
      <x:c r="K45" s="52" t="str">
        <x:v>Plural</x:v>
      </x:c>
      <x:c r="L45" s="52" t="str">
        <x:v>Francesa / europea</x:v>
      </x:c>
      <x:c r="M45" s="60" t="n">
        <x:v>5</x:v>
      </x:c>
      <x:c r="N45" s="60" t="n">
        <x:v>5</x:v>
      </x:c>
      <x:c r="O45" s="60" t="n">
        <x:v>5</x:v>
      </x:c>
      <x:c r="P45" s="60" t="n">
        <x:v>5</x:v>
      </x:c>
      <x:c r="Q45" s="60" t="n">
        <x:v>4</x:v>
      </x:c>
      <x:c r="R45" s="60" t="n">
        <x:v>5</x:v>
      </x:c>
      <x:c r="S45" s="68" t="n">
        <x:f>ROUND(AVERAGE(M45:R45),1)</x:f>
        <x:v>4.8</x:v>
      </x:c>
      <x:c r="T45" s="60" t="str">
        <x:f>IF(S45&gt;=4.3,"Alta",IF(S45&gt;=3.5,"Media-alta",IF(S45&gt;=2.7,"Media",IF(S45&gt;=2,"Baja","Muy baja"))))</x:f>
        <x:v>Alta</x:v>
      </x:c>
      <x:c r="U45" s="52" t="str">
        <x:v>Investigación académica y contexto histórico</x:v>
      </x:c>
      <x:c r="V45" s="52" t="str">
        <x:v>Baja a moderada</x:v>
      </x:c>
      <x:c r="W45" s="52" t="str">
        <x:v>Literatura académica y datos primarios</x:v>
      </x:c>
      <x:c r="X45" s="52" t="str">
        <x:v>Activo</x:v>
      </x:c>
      <x:c r="Y45" s="52" t="str"/>
      <x:c r="Z45" s="80" t="str">
        <x:v>https://www.sciencespo.fr/ceri/en/</x:v>
      </x:c>
      <x:c r="AA45" s="64" t="n">
        <x:v>46219</x:v>
      </x:c>
    </x:row>
    <x:row r="46">
      <x:c r="A46" s="60" t="n">
        <x:v>42</x:v>
      </x:c>
      <x:c r="B46" s="72" t="str">
        <x:v>Arms Control Association</x:v>
      </x:c>
      <x:c r="C46" s="76" t="str">
        <x:v>https://www.armscontrol.org/</x:v>
      </x:c>
      <x:c r="D46" s="52" t="str">
        <x:v>Estados Unidos; alcance global</x:v>
      </x:c>
      <x:c r="E46" s="52" t="str">
        <x:v>Global</x:v>
      </x:c>
      <x:c r="F46" s="52" t="str">
        <x:v>Inglés</x:v>
      </x:c>
      <x:c r="G46" s="52" t="str">
        <x:v>ONG especializada</x:v>
      </x:c>
      <x:c r="H46" s="52" t="str">
        <x:v>Análisis y advocacy sobre control de armas</x:v>
      </x:c>
      <x:c r="I46" s="52" t="str">
        <x:v>Organización sin fines de lucro</x:v>
      </x:c>
      <x:c r="J46" s="52" t="str">
        <x:v>ONG/advocacy</x:v>
      </x:c>
      <x:c r="K46" s="52" t="str">
        <x:v>No partidista; favorable al control de armas</x:v>
      </x:c>
      <x:c r="L46" s="52" t="str">
        <x:v>Control de armas / no proliferación</x:v>
      </x:c>
      <x:c r="M46" s="60" t="n">
        <x:v>4</x:v>
      </x:c>
      <x:c r="N46" s="60" t="n">
        <x:v>4</x:v>
      </x:c>
      <x:c r="O46" s="60" t="n">
        <x:v>5</x:v>
      </x:c>
      <x:c r="P46" s="60" t="n">
        <x:v>4</x:v>
      </x:c>
      <x:c r="Q46" s="60" t="n">
        <x:v>4</x:v>
      </x:c>
      <x:c r="R46" s="60" t="n">
        <x:v>5</x:v>
      </x:c>
      <x:c r="S46" s="68" t="n">
        <x:f>ROUND(AVERAGE(M46:R46),1)</x:f>
        <x:v>4.3</x:v>
      </x:c>
      <x:c r="T46" s="60" t="str">
        <x:f>IF(S46&gt;=4.3,"Alta",IF(S46&gt;=3.5,"Media-alta",IF(S46&gt;=2.7,"Media",IF(S46&gt;=2,"Baja","Muy baja"))))</x:f>
        <x:v>Alta</x:v>
      </x:c>
      <x:c r="U46" s="52" t="str">
        <x:v>Cronologías, tratados y política de no proliferación</x:v>
      </x:c>
      <x:c r="V46" s="52" t="str">
        <x:v>Moderada</x:v>
      </x:c>
      <x:c r="W46" s="52" t="str">
        <x:v>OIEA, tratados y posiciones gubernamentales</x:v>
      </x:c>
      <x:c r="X46" s="52" t="str">
        <x:v>Activo</x:v>
      </x:c>
      <x:c r="Y46" s="52" t="str">
        <x:v>Reubicada: no es organismo oficial.</x:v>
      </x:c>
      <x:c r="Z46" s="80" t="str">
        <x:v>https://www.armscontrol.org/about</x:v>
      </x:c>
      <x:c r="AA46" s="64" t="n">
        <x:v>46219</x:v>
      </x:c>
    </x:row>
    <x:row r="47">
      <x:c r="A47" s="60" t="n">
        <x:v>43</x:v>
      </x:c>
      <x:c r="B47" s="72" t="str">
        <x:v>SIPRI</x:v>
      </x:c>
      <x:c r="C47" s="76" t="str">
        <x:v>https://www.sipri.org/</x:v>
      </x:c>
      <x:c r="D47" s="52" t="str">
        <x:v>Suecia; alcance global</x:v>
      </x:c>
      <x:c r="E47" s="52" t="str">
        <x:v>Global</x:v>
      </x:c>
      <x:c r="F47" s="52" t="str">
        <x:v>Inglés</x:v>
      </x:c>
      <x:c r="G47" s="52" t="str">
        <x:v>Instituto de investigación</x:v>
      </x:c>
      <x:c r="H47" s="52" t="str">
        <x:v>Datos de armamentos, gasto militar y paz</x:v>
      </x:c>
      <x:c r="I47" s="52" t="str">
        <x:v>Instituto internacional independiente</x:v>
      </x:c>
      <x:c r="J47" s="52" t="str">
        <x:v>ONG/academia</x:v>
      </x:c>
      <x:c r="K47" s="52" t="str">
        <x:v>Centrista / paz y seguridad</x:v>
      </x:c>
      <x:c r="L47" s="52" t="str">
        <x:v>Nórdica / multilateral</x:v>
      </x:c>
      <x:c r="M47" s="60" t="n">
        <x:v>5</x:v>
      </x:c>
      <x:c r="N47" s="60" t="n">
        <x:v>5</x:v>
      </x:c>
      <x:c r="O47" s="60" t="n">
        <x:v>5</x:v>
      </x:c>
      <x:c r="P47" s="60" t="n">
        <x:v>5</x:v>
      </x:c>
      <x:c r="Q47" s="60" t="n">
        <x:v>4</x:v>
      </x:c>
      <x:c r="R47" s="60" t="n">
        <x:v>5</x:v>
      </x:c>
      <x:c r="S47" s="68" t="n">
        <x:f>ROUND(AVERAGE(M47:R47),1)</x:f>
        <x:v>4.8</x:v>
      </x:c>
      <x:c r="T47" s="60" t="str">
        <x:f>IF(S47&gt;=4.3,"Alta",IF(S47&gt;=3.5,"Media-alta",IF(S47&gt;=2.7,"Media",IF(S47&gt;=2,"Baja","Muy baja"))))</x:f>
        <x:v>Alta</x:v>
      </x:c>
      <x:c r="U47" s="52" t="str">
        <x:v>Datos de gasto militar, armas y transferencias</x:v>
      </x:c>
      <x:c r="V47" s="52" t="str">
        <x:v>Baja</x:v>
      </x:c>
      <x:c r="W47" s="52" t="str">
        <x:v>Fuentes nacionales e IISS</x:v>
      </x:c>
      <x:c r="X47" s="52" t="str">
        <x:v>Nuevo recomendado</x:v>
      </x:c>
      <x:c r="Y47" s="52" t="str"/>
      <x:c r="Z47" s="80" t="str">
        <x:v>https://www.sipri.org/</x:v>
      </x:c>
      <x:c r="AA47" s="64" t="n">
        <x:v>46219</x:v>
      </x:c>
    </x:row>
    <x:row r="48">
      <x:c r="A48" s="60" t="n">
        <x:v>44</x:v>
      </x:c>
      <x:c r="B48" s="72" t="str">
        <x:v>CGTN</x:v>
      </x:c>
      <x:c r="C48" s="76" t="str">
        <x:v>https://www.cgtn.com/</x:v>
      </x:c>
      <x:c r="D48" s="52" t="str">
        <x:v>China; alcance internacional</x:v>
      </x:c>
      <x:c r="E48" s="52" t="str">
        <x:v>Asia/Global</x:v>
      </x:c>
      <x:c r="F48" s="52" t="str">
        <x:v>Inglés y otros</x:v>
      </x:c>
      <x:c r="G48" s="52" t="str">
        <x:v>Medio estatal internacional</x:v>
      </x:c>
      <x:c r="H48" s="52" t="str">
        <x:v>Noticias y narrativa oficial</x:v>
      </x:c>
      <x:c r="I48" s="52" t="str">
        <x:v>Financiación estatal china</x:v>
      </x:c>
      <x:c r="J48" s="52" t="str">
        <x:v>Estatal</x:v>
      </x:c>
      <x:c r="K48" s="52" t="str">
        <x:v>Línea oficial</x:v>
      </x:c>
      <x:c r="L48" s="52" t="str">
        <x:v>China estatal</x:v>
      </x:c>
      <x:c r="M48" s="60" t="n">
        <x:v>3</x:v>
      </x:c>
      <x:c r="N48" s="60" t="n">
        <x:v>1</x:v>
      </x:c>
      <x:c r="O48" s="60" t="n">
        <x:v>4</x:v>
      </x:c>
      <x:c r="P48" s="60" t="n">
        <x:v>3</x:v>
      </x:c>
      <x:c r="Q48" s="60" t="n">
        <x:v>2</x:v>
      </x:c>
      <x:c r="R48" s="60" t="n">
        <x:v>2</x:v>
      </x:c>
      <x:c r="S48" s="68" t="n">
        <x:f>ROUND(AVERAGE(M48:R48),1)</x:f>
        <x:v>2.5</x:v>
      </x:c>
      <x:c r="T48" s="60" t="str">
        <x:f>IF(S48&gt;=4.3,"Alta",IF(S48&gt;=3.5,"Media-alta",IF(S48&gt;=2.7,"Media",IF(S48&gt;=2,"Baja","Muy baja"))))</x:f>
        <x:v>Baja</x:v>
      </x:c>
      <x:c r="U48" s="52" t="str">
        <x:v>Conocer la posición y narrativa oficial china</x:v>
      </x:c>
      <x:c r="V48" s="52" t="str">
        <x:v>Obligatoria</x:v>
      </x:c>
      <x:c r="W48" s="52" t="str">
        <x:v>Reuters/AP, medios asiáticos independientes y documentos</x:v>
      </x:c>
      <x:c r="X48" s="52" t="str">
        <x:v>Uso condicionado</x:v>
      </x:c>
      <x:c r="Y48" s="52" t="str">
        <x:v>No clasificar simplemente como inútil: es fuente primaria de narrativa estatal.</x:v>
      </x:c>
      <x:c r="Z48" s="80" t="str">
        <x:v>https://www.cgtn.com/</x:v>
      </x:c>
      <x:c r="AA48" s="64" t="n">
        <x:v>46219</x:v>
      </x:c>
    </x:row>
    <x:row r="49">
      <x:c r="A49" s="60" t="n">
        <x:v>45</x:v>
      </x:c>
      <x:c r="B49" s="72" t="str">
        <x:v>TASS</x:v>
      </x:c>
      <x:c r="C49" s="76" t="str">
        <x:v>https://tass.com/</x:v>
      </x:c>
      <x:c r="D49" s="52" t="str">
        <x:v>Rusia; alcance internacional</x:v>
      </x:c>
      <x:c r="E49" s="52" t="str">
        <x:v>Rusia/Global</x:v>
      </x:c>
      <x:c r="F49" s="52" t="str">
        <x:v>Ruso/Inglés</x:v>
      </x:c>
      <x:c r="G49" s="52" t="str">
        <x:v>Agencia estatal</x:v>
      </x:c>
      <x:c r="H49" s="52" t="str">
        <x:v>Noticias y narrativa oficial</x:v>
      </x:c>
      <x:c r="I49" s="52" t="str">
        <x:v>Financiación estatal rusa</x:v>
      </x:c>
      <x:c r="J49" s="52" t="str">
        <x:v>Estatal</x:v>
      </x:c>
      <x:c r="K49" s="52" t="str">
        <x:v>Línea oficial</x:v>
      </x:c>
      <x:c r="L49" s="52" t="str">
        <x:v>Rusia estatal</x:v>
      </x:c>
      <x:c r="M49" s="60" t="n">
        <x:v>2</x:v>
      </x:c>
      <x:c r="N49" s="60" t="n">
        <x:v>1</x:v>
      </x:c>
      <x:c r="O49" s="60" t="n">
        <x:v>4</x:v>
      </x:c>
      <x:c r="P49" s="60" t="n">
        <x:v>2</x:v>
      </x:c>
      <x:c r="Q49" s="60" t="n">
        <x:v>1</x:v>
      </x:c>
      <x:c r="R49" s="60" t="n">
        <x:v>2</x:v>
      </x:c>
      <x:c r="S49" s="68" t="n">
        <x:f>ROUND(AVERAGE(M49:R49),1)</x:f>
        <x:v>2</x:v>
      </x:c>
      <x:c r="T49" s="60" t="str">
        <x:f>IF(S49&gt;=4.3,"Alta",IF(S49&gt;=3.5,"Media-alta",IF(S49&gt;=2.7,"Media",IF(S49&gt;=2,"Baja","Muy baja"))))</x:f>
        <x:v>Baja</x:v>
      </x:c>
      <x:c r="U49" s="52" t="str">
        <x:v>Conocer declaraciones y narrativa oficial rusa</x:v>
      </x:c>
      <x:c r="V49" s="52" t="str">
        <x:v>Obligatoria</x:v>
      </x:c>
      <x:c r="W49" s="52" t="str">
        <x:v>Reuters/AP, medios rusos independientes y evidencia primaria</x:v>
      </x:c>
      <x:c r="X49" s="52" t="str">
        <x:v>Uso condicionado</x:v>
      </x:c>
      <x:c r="Y49" s="52" t="str"/>
      <x:c r="Z49" s="80" t="str">
        <x:v>https://tass.com/</x:v>
      </x:c>
      <x:c r="AA49" s="64" t="n">
        <x:v>46219</x:v>
      </x:c>
    </x:row>
    <x:row r="50">
      <x:c r="A50" s="60" t="n">
        <x:v>46</x:v>
      </x:c>
      <x:c r="B50" s="72" t="str">
        <x:v>Xinhua News Agency</x:v>
      </x:c>
      <x:c r="C50" s="76" t="str">
        <x:v>https://english.news.cn/</x:v>
      </x:c>
      <x:c r="D50" s="52" t="str">
        <x:v>China; red global</x:v>
      </x:c>
      <x:c r="E50" s="52" t="str">
        <x:v>Asia/Global</x:v>
      </x:c>
      <x:c r="F50" s="52" t="str">
        <x:v>Chino/Inglés</x:v>
      </x:c>
      <x:c r="G50" s="52" t="str">
        <x:v>Agencia estatal</x:v>
      </x:c>
      <x:c r="H50" s="52" t="str">
        <x:v>Noticias y comunicación oficial</x:v>
      </x:c>
      <x:c r="I50" s="52" t="str">
        <x:v>Financiación estatal china</x:v>
      </x:c>
      <x:c r="J50" s="52" t="str">
        <x:v>Estatal</x:v>
      </x:c>
      <x:c r="K50" s="52" t="str">
        <x:v>Línea oficial</x:v>
      </x:c>
      <x:c r="L50" s="52" t="str">
        <x:v>China estatal</x:v>
      </x:c>
      <x:c r="M50" s="60" t="n">
        <x:v>3</x:v>
      </x:c>
      <x:c r="N50" s="60" t="n">
        <x:v>1</x:v>
      </x:c>
      <x:c r="O50" s="60" t="n">
        <x:v>4</x:v>
      </x:c>
      <x:c r="P50" s="60" t="n">
        <x:v>3</x:v>
      </x:c>
      <x:c r="Q50" s="60" t="n">
        <x:v>2</x:v>
      </x:c>
      <x:c r="R50" s="60" t="n">
        <x:v>2</x:v>
      </x:c>
      <x:c r="S50" s="68" t="n">
        <x:f>ROUND(AVERAGE(M50:R50),1)</x:f>
        <x:v>2.5</x:v>
      </x:c>
      <x:c r="T50" s="60" t="str">
        <x:f>IF(S50&gt;=4.3,"Alta",IF(S50&gt;=3.5,"Media-alta",IF(S50&gt;=2.7,"Media",IF(S50&gt;=2,"Baja","Muy baja"))))</x:f>
        <x:v>Baja</x:v>
      </x:c>
      <x:c r="U50" s="52" t="str">
        <x:v>Posiciones oficiales y datos publicados por China</x:v>
      </x:c>
      <x:c r="V50" s="52" t="str">
        <x:v>Obligatoria</x:v>
      </x:c>
      <x:c r="W50" s="52" t="str">
        <x:v>Reuters/AP, Caixin, Nikkei y documentos</x:v>
      </x:c>
      <x:c r="X50" s="52" t="str">
        <x:v>Uso condicionado</x:v>
      </x:c>
      <x:c r="Y50" s="52" t="str"/>
      <x:c r="Z50" s="80" t="str">
        <x:v>https://english.news.cn/</x:v>
      </x:c>
      <x:c r="AA50" s="64" t="n">
        <x:v>46219</x:v>
      </x:c>
    </x:row>
    <x:row r="51">
      <x:c r="A51" s="60" t="n">
        <x:v>47</x:v>
      </x:c>
      <x:c r="B51" s="72" t="str">
        <x:v>Nikkei Asia</x:v>
      </x:c>
      <x:c r="C51" s="76" t="str">
        <x:v>https://asia.nikkei.com/</x:v>
      </x:c>
      <x:c r="D51" s="52" t="str">
        <x:v>Japón; alcance asiático</x:v>
      </x:c>
      <x:c r="E51" s="52" t="str">
        <x:v>Asia</x:v>
      </x:c>
      <x:c r="F51" s="52" t="str">
        <x:v>Inglés</x:v>
      </x:c>
      <x:c r="G51" s="52" t="str">
        <x:v>Medio económico regional</x:v>
      </x:c>
      <x:c r="H51" s="52" t="str">
        <x:v>Empresas, economía y geopolítica asiática</x:v>
      </x:c>
      <x:c r="I51" s="52" t="str">
        <x:v>Privado comercial</x:v>
      </x:c>
      <x:c r="J51" s="52" t="str">
        <x:v>Privado</x:v>
      </x:c>
      <x:c r="K51" s="52" t="str">
        <x:v>Centro / promercado</x:v>
      </x:c>
      <x:c r="L51" s="52" t="str">
        <x:v>Japonesa / asiática</x:v>
      </x:c>
      <x:c r="M51" s="60" t="n">
        <x:v>5</x:v>
      </x:c>
      <x:c r="N51" s="60" t="n">
        <x:v>4</x:v>
      </x:c>
      <x:c r="O51" s="60" t="n">
        <x:v>4</x:v>
      </x:c>
      <x:c r="P51" s="60" t="n">
        <x:v>5</x:v>
      </x:c>
      <x:c r="Q51" s="60" t="n">
        <x:v>5</x:v>
      </x:c>
      <x:c r="R51" s="60" t="n">
        <x:v>4</x:v>
      </x:c>
      <x:c r="S51" s="68" t="n">
        <x:f>ROUND(AVERAGE(M51:R51),1)</x:f>
        <x:v>4.5</x:v>
      </x:c>
      <x:c r="T51" s="60" t="str">
        <x:f>IF(S51&gt;=4.3,"Alta",IF(S51&gt;=3.5,"Media-alta",IF(S51&gt;=2.7,"Media",IF(S51&gt;=2,"Baja","Muy baja"))))</x:f>
        <x:v>Alta</x:v>
      </x:c>
      <x:c r="U51" s="52" t="str">
        <x:v>Asia, cadenas de suministro y geoeconomía</x:v>
      </x:c>
      <x:c r="V51" s="52" t="str">
        <x:v>Moderada</x:v>
      </x:c>
      <x:c r="W51" s="52" t="str">
        <x:v>Reuters, Bloomberg y medios locales</x:v>
      </x:c>
      <x:c r="X51" s="52" t="str">
        <x:v>Nuevo recomendado</x:v>
      </x:c>
      <x:c r="Y51" s="52" t="str"/>
      <x:c r="Z51" s="80" t="str">
        <x:v>https://asia.nikkei.com/</x:v>
      </x:c>
      <x:c r="AA51" s="64" t="n">
        <x:v>46219</x:v>
      </x:c>
    </x:row>
    <x:row r="52">
      <x:c r="A52" s="60" t="n">
        <x:v>48</x:v>
      </x:c>
      <x:c r="B52" s="72" t="str">
        <x:v>CNA</x:v>
      </x:c>
      <x:c r="C52" s="76" t="str">
        <x:v>https://www.channelnewsasia.com/</x:v>
      </x:c>
      <x:c r="D52" s="52" t="str">
        <x:v>Singapur; alcance regional</x:v>
      </x:c>
      <x:c r="E52" s="52" t="str">
        <x:v>Asia</x:v>
      </x:c>
      <x:c r="F52" s="52" t="str">
        <x:v>Inglés y lenguas regionales</x:v>
      </x:c>
      <x:c r="G52" s="52" t="str">
        <x:v>Radiodifusor regional</x:v>
      </x:c>
      <x:c r="H52" s="52" t="str">
        <x:v>Noticias y análisis del Sudeste Asiático</x:v>
      </x:c>
      <x:c r="I52" s="52" t="str">
        <x:v>Empresa de medios con vínculo público</x:v>
      </x:c>
      <x:c r="J52" s="52" t="str">
        <x:v>Público/comercial</x:v>
      </x:c>
      <x:c r="K52" s="52" t="str">
        <x:v>Centro / institucional</x:v>
      </x:c>
      <x:c r="L52" s="52" t="str">
        <x:v>Singapur / ASEAN</x:v>
      </x:c>
      <x:c r="M52" s="60" t="n">
        <x:v>4</x:v>
      </x:c>
      <x:c r="N52" s="60" t="n">
        <x:v>3</x:v>
      </x:c>
      <x:c r="O52" s="60" t="n">
        <x:v>4</x:v>
      </x:c>
      <x:c r="P52" s="60" t="n">
        <x:v>4</x:v>
      </x:c>
      <x:c r="Q52" s="60" t="n">
        <x:v>4</x:v>
      </x:c>
      <x:c r="R52" s="60" t="n">
        <x:v>5</x:v>
      </x:c>
      <x:c r="S52" s="68" t="n">
        <x:f>ROUND(AVERAGE(M52:R52),1)</x:f>
        <x:v>4</x:v>
      </x:c>
      <x:c r="T52" s="60" t="str">
        <x:f>IF(S52&gt;=4.3,"Alta",IF(S52&gt;=3.5,"Media-alta",IF(S52&gt;=2.7,"Media",IF(S52&gt;=2,"Baja","Muy baja"))))</x:f>
        <x:v>Media-alta</x:v>
      </x:c>
      <x:c r="U52" s="52" t="str">
        <x:v>Sudeste Asiático y ASEAN</x:v>
      </x:c>
      <x:c r="V52" s="52" t="str">
        <x:v>Moderada</x:v>
      </x:c>
      <x:c r="W52" s="52" t="str">
        <x:v>Reuters, medios nacionales y fuentes locales</x:v>
      </x:c>
      <x:c r="X52" s="52" t="str">
        <x:v>Nuevo recomendado</x:v>
      </x:c>
      <x:c r="Y52" s="52" t="str"/>
      <x:c r="Z52" s="80" t="str">
        <x:v>https://www.channelnewsasia.com/</x:v>
      </x:c>
      <x:c r="AA52" s="64" t="n">
        <x:v>46219</x:v>
      </x:c>
    </x:row>
    <x:row r="53">
      <x:c r="A53" s="60" t="n">
        <x:v>49</x:v>
      </x:c>
      <x:c r="B53" s="72" t="str">
        <x:v>NHK World-Japan</x:v>
      </x:c>
      <x:c r="C53" s="76" t="str">
        <x:v>https://www3.nhk.or.jp/nhkworld/</x:v>
      </x:c>
      <x:c r="D53" s="52" t="str">
        <x:v>Japón; alcance global</x:v>
      </x:c>
      <x:c r="E53" s="52" t="str">
        <x:v>Asia/Global</x:v>
      </x:c>
      <x:c r="F53" s="52" t="str">
        <x:v>Multilingüe</x:v>
      </x:c>
      <x:c r="G53" s="52" t="str">
        <x:v>Radiodifusor público internacional</x:v>
      </x:c>
      <x:c r="H53" s="52" t="str">
        <x:v>Noticias y contexto</x:v>
      </x:c>
      <x:c r="I53" s="52" t="str">
        <x:v>Financiación pública</x:v>
      </x:c>
      <x:c r="J53" s="52" t="str">
        <x:v>Público</x:v>
      </x:c>
      <x:c r="K53" s="52" t="str">
        <x:v>Centro / institucional</x:v>
      </x:c>
      <x:c r="L53" s="52" t="str">
        <x:v>Japonesa</x:v>
      </x:c>
      <x:c r="M53" s="60" t="n">
        <x:v>4</x:v>
      </x:c>
      <x:c r="N53" s="60" t="n">
        <x:v>4</x:v>
      </x:c>
      <x:c r="O53" s="60" t="n">
        <x:v>5</x:v>
      </x:c>
      <x:c r="P53" s="60" t="n">
        <x:v>4</x:v>
      </x:c>
      <x:c r="Q53" s="60" t="n">
        <x:v>4</x:v>
      </x:c>
      <x:c r="R53" s="60" t="n">
        <x:v>5</x:v>
      </x:c>
      <x:c r="S53" s="68" t="n">
        <x:f>ROUND(AVERAGE(M53:R53),1)</x:f>
        <x:v>4.3</x:v>
      </x:c>
      <x:c r="T53" s="60" t="str">
        <x:f>IF(S53&gt;=4.3,"Alta",IF(S53&gt;=3.5,"Media-alta",IF(S53&gt;=2.7,"Media",IF(S53&gt;=2,"Baja","Muy baja"))))</x:f>
        <x:v>Alta</x:v>
      </x:c>
      <x:c r="U53" s="52" t="str">
        <x:v>Japón y Asia Oriental</x:v>
      </x:c>
      <x:c r="V53" s="52" t="str">
        <x:v>Moderada</x:v>
      </x:c>
      <x:c r="W53" s="52" t="str">
        <x:v>Kyodo, Reuters y medios regionales</x:v>
      </x:c>
      <x:c r="X53" s="52" t="str">
        <x:v>Nuevo recomendado</x:v>
      </x:c>
      <x:c r="Y53" s="52" t="str"/>
      <x:c r="Z53" s="80" t="str">
        <x:v>https://www3.nhk.or.jp/nhkworld/</x:v>
      </x:c>
      <x:c r="AA53" s="64" t="n">
        <x:v>46219</x:v>
      </x:c>
    </x:row>
    <x:row r="54">
      <x:c r="A54" s="60" t="n">
        <x:v>50</x:v>
      </x:c>
      <x:c r="B54" s="72" t="str">
        <x:v>Kyodo News</x:v>
      </x:c>
      <x:c r="C54" s="76" t="str">
        <x:v>https://english.kyodonews.net/</x:v>
      </x:c>
      <x:c r="D54" s="52" t="str">
        <x:v>Japón</x:v>
      </x:c>
      <x:c r="E54" s="52" t="str">
        <x:v>Asia</x:v>
      </x:c>
      <x:c r="F54" s="52" t="str">
        <x:v>Japonés/Inglés</x:v>
      </x:c>
      <x:c r="G54" s="52" t="str">
        <x:v>Agencia de noticias</x:v>
      </x:c>
      <x:c r="H54" s="52" t="str">
        <x:v>Noticias nacionales e internacionales</x:v>
      </x:c>
      <x:c r="I54" s="52" t="str">
        <x:v>Cooperativa de prensa</x:v>
      </x:c>
      <x:c r="J54" s="52" t="str">
        <x:v>Cooperativo</x:v>
      </x:c>
      <x:c r="K54" s="52" t="str">
        <x:v>Centro</x:v>
      </x:c>
      <x:c r="L54" s="52" t="str">
        <x:v>Japonesa</x:v>
      </x:c>
      <x:c r="M54" s="60" t="n">
        <x:v>5</x:v>
      </x:c>
      <x:c r="N54" s="60" t="n">
        <x:v>5</x:v>
      </x:c>
      <x:c r="O54" s="60" t="n">
        <x:v>5</x:v>
      </x:c>
      <x:c r="P54" s="60" t="n">
        <x:v>5</x:v>
      </x:c>
      <x:c r="Q54" s="60" t="n">
        <x:v>4</x:v>
      </x:c>
      <x:c r="R54" s="60" t="n">
        <x:v>5</x:v>
      </x:c>
      <x:c r="S54" s="68" t="n">
        <x:f>ROUND(AVERAGE(M54:R54),1)</x:f>
        <x:v>4.8</x:v>
      </x:c>
      <x:c r="T54" s="60" t="str">
        <x:f>IF(S54&gt;=4.3,"Alta",IF(S54&gt;=3.5,"Media-alta",IF(S54&gt;=2.7,"Media",IF(S54&gt;=2,"Baja","Muy baja"))))</x:f>
        <x:v>Alta</x:v>
      </x:c>
      <x:c r="U54" s="52" t="str">
        <x:v>Japón y Asia Oriental</x:v>
      </x:c>
      <x:c r="V54" s="52" t="str">
        <x:v>Baja a moderada</x:v>
      </x:c>
      <x:c r="W54" s="52" t="str">
        <x:v>Reuters/AP y documentos oficiales</x:v>
      </x:c>
      <x:c r="X54" s="52" t="str">
        <x:v>Nuevo recomendado</x:v>
      </x:c>
      <x:c r="Y54" s="52" t="str"/>
      <x:c r="Z54" s="80" t="str">
        <x:v>https://english.kyodonews.net/</x:v>
      </x:c>
      <x:c r="AA54" s="64" t="n">
        <x:v>46219</x:v>
      </x:c>
    </x:row>
    <x:row r="55">
      <x:c r="A55" s="60" t="n">
        <x:v>51</x:v>
      </x:c>
      <x:c r="B55" s="72" t="str">
        <x:v>Yonhap News Agency</x:v>
      </x:c>
      <x:c r="C55" s="76" t="str">
        <x:v>https://en.yna.co.kr/</x:v>
      </x:c>
      <x:c r="D55" s="52" t="str">
        <x:v>Corea del Sur</x:v>
      </x:c>
      <x:c r="E55" s="52" t="str">
        <x:v>Asia</x:v>
      </x:c>
      <x:c r="F55" s="52" t="str">
        <x:v>Coreano/Inglés</x:v>
      </x:c>
      <x:c r="G55" s="52" t="str">
        <x:v>Agencia de noticias</x:v>
      </x:c>
      <x:c r="H55" s="52" t="str">
        <x:v>Noticias nacionales y regionales</x:v>
      </x:c>
      <x:c r="I55" s="52" t="str">
        <x:v>Agencia con apoyo público</x:v>
      </x:c>
      <x:c r="J55" s="52" t="str">
        <x:v>Institucional</x:v>
      </x:c>
      <x:c r="K55" s="52" t="str">
        <x:v>Centro / institucional</x:v>
      </x:c>
      <x:c r="L55" s="52" t="str">
        <x:v>Surcoreana</x:v>
      </x:c>
      <x:c r="M55" s="60" t="n">
        <x:v>4</x:v>
      </x:c>
      <x:c r="N55" s="60" t="n">
        <x:v>3</x:v>
      </x:c>
      <x:c r="O55" s="60" t="n">
        <x:v>4</x:v>
      </x:c>
      <x:c r="P55" s="60" t="n">
        <x:v>4</x:v>
      </x:c>
      <x:c r="Q55" s="60" t="n">
        <x:v>4</x:v>
      </x:c>
      <x:c r="R55" s="60" t="n">
        <x:v>5</x:v>
      </x:c>
      <x:c r="S55" s="68" t="n">
        <x:f>ROUND(AVERAGE(M55:R55),1)</x:f>
        <x:v>4</x:v>
      </x:c>
      <x:c r="T55" s="60" t="str">
        <x:f>IF(S55&gt;=4.3,"Alta",IF(S55&gt;=3.5,"Media-alta",IF(S55&gt;=2.7,"Media",IF(S55&gt;=2,"Baja","Muy baja"))))</x:f>
        <x:v>Media-alta</x:v>
      </x:c>
      <x:c r="U55" s="52" t="str">
        <x:v>Corea y península coreana</x:v>
      </x:c>
      <x:c r="V55" s="52" t="str">
        <x:v>Moderada</x:v>
      </x:c>
      <x:c r="W55" s="52" t="str">
        <x:v>Reuters, KCNA como fuente primaria y medios regionales</x:v>
      </x:c>
      <x:c r="X55" s="52" t="str">
        <x:v>Nuevo recomendado</x:v>
      </x:c>
      <x:c r="Y55" s="52" t="str"/>
      <x:c r="Z55" s="80" t="str">
        <x:v>https://en.yna.co.kr/</x:v>
      </x:c>
      <x:c r="AA55" s="64" t="n">
        <x:v>46219</x:v>
      </x:c>
    </x:row>
    <x:row r="56">
      <x:c r="A56" s="60" t="n">
        <x:v>52</x:v>
      </x:c>
      <x:c r="B56" s="72" t="str">
        <x:v>Caixin Global</x:v>
      </x:c>
      <x:c r="C56" s="76" t="str">
        <x:v>https://www.caixinglobal.com/</x:v>
      </x:c>
      <x:c r="D56" s="52" t="str">
        <x:v>China</x:v>
      </x:c>
      <x:c r="E56" s="52" t="str">
        <x:v>Asia</x:v>
      </x:c>
      <x:c r="F56" s="52" t="str">
        <x:v>Inglés/Chino</x:v>
      </x:c>
      <x:c r="G56" s="52" t="str">
        <x:v>Medio económico</x:v>
      </x:c>
      <x:c r="H56" s="52" t="str">
        <x:v>Economía, finanzas e investigación</x:v>
      </x:c>
      <x:c r="I56" s="52" t="str">
        <x:v>Privado/comercial bajo entorno regulado</x:v>
      </x:c>
      <x:c r="J56" s="52" t="str">
        <x:v>Privado/regulado</x:v>
      </x:c>
      <x:c r="K56" s="52" t="str">
        <x:v>Reformista / promercado</x:v>
      </x:c>
      <x:c r="L56" s="52" t="str">
        <x:v>China económica</x:v>
      </x:c>
      <x:c r="M56" s="60" t="n">
        <x:v>4</x:v>
      </x:c>
      <x:c r="N56" s="60" t="n">
        <x:v>3</x:v>
      </x:c>
      <x:c r="O56" s="60" t="n">
        <x:v>3</x:v>
      </x:c>
      <x:c r="P56" s="60" t="n">
        <x:v>4</x:v>
      </x:c>
      <x:c r="Q56" s="60" t="n">
        <x:v>4</x:v>
      </x:c>
      <x:c r="R56" s="60" t="n">
        <x:v>4</x:v>
      </x:c>
      <x:c r="S56" s="68" t="n">
        <x:f>ROUND(AVERAGE(M56:R56),1)</x:f>
        <x:v>3.7</x:v>
      </x:c>
      <x:c r="T56" s="60" t="str">
        <x:f>IF(S56&gt;=4.3,"Alta",IF(S56&gt;=3.5,"Media-alta",IF(S56&gt;=2.7,"Media",IF(S56&gt;=2,"Baja","Muy baja"))))</x:f>
        <x:v>Media-alta</x:v>
      </x:c>
      <x:c r="U56" s="52" t="str">
        <x:v>Economía china y empresas</x:v>
      </x:c>
      <x:c r="V56" s="52" t="str">
        <x:v>Alta en temas políticos sensibles</x:v>
      </x:c>
      <x:c r="W56" s="52" t="str">
        <x:v>Reuters, Bloomberg, Nikkei y datos oficiales</x:v>
      </x:c>
      <x:c r="X56" s="52" t="str">
        <x:v>Nuevo recomendado</x:v>
      </x:c>
      <x:c r="Y56" s="52" t="str"/>
      <x:c r="Z56" s="80" t="str">
        <x:v>https://www.caixinglobal.com/</x:v>
      </x:c>
      <x:c r="AA56" s="64" t="n">
        <x:v>46219</x:v>
      </x:c>
    </x:row>
    <x:row r="57">
      <x:c r="A57" s="60" t="n">
        <x:v>53</x:v>
      </x:c>
      <x:c r="B57" s="72" t="str">
        <x:v>South China Morning Post</x:v>
      </x:c>
      <x:c r="C57" s="76" t="str">
        <x:v>https://www.scmp.com/</x:v>
      </x:c>
      <x:c r="D57" s="52" t="str">
        <x:v>Hong Kong</x:v>
      </x:c>
      <x:c r="E57" s="52" t="str">
        <x:v>Asia</x:v>
      </x:c>
      <x:c r="F57" s="52" t="str">
        <x:v>Inglés/Chino</x:v>
      </x:c>
      <x:c r="G57" s="52" t="str">
        <x:v>Medio regional</x:v>
      </x:c>
      <x:c r="H57" s="52" t="str">
        <x:v>Noticias de China y Asia</x:v>
      </x:c>
      <x:c r="I57" s="52" t="str">
        <x:v>Privado comercial</x:v>
      </x:c>
      <x:c r="J57" s="52" t="str">
        <x:v>Privado</x:v>
      </x:c>
      <x:c r="K57" s="52" t="str">
        <x:v>Centro; sensibilidad al entorno chino</x:v>
      </x:c>
      <x:c r="L57" s="52" t="str">
        <x:v>Hong Kong / China</x:v>
      </x:c>
      <x:c r="M57" s="60" t="n">
        <x:v>4</x:v>
      </x:c>
      <x:c r="N57" s="60" t="n">
        <x:v>3</x:v>
      </x:c>
      <x:c r="O57" s="60" t="n">
        <x:v>3</x:v>
      </x:c>
      <x:c r="P57" s="60" t="n">
        <x:v>4</x:v>
      </x:c>
      <x:c r="Q57" s="60" t="n">
        <x:v>4</x:v>
      </x:c>
      <x:c r="R57" s="60" t="n">
        <x:v>4</x:v>
      </x:c>
      <x:c r="S57" s="68" t="n">
        <x:f>ROUND(AVERAGE(M57:R57),1)</x:f>
        <x:v>3.7</x:v>
      </x:c>
      <x:c r="T57" s="60" t="str">
        <x:f>IF(S57&gt;=4.3,"Alta",IF(S57&gt;=3.5,"Media-alta",IF(S57&gt;=2.7,"Media",IF(S57&gt;=2,"Baja","Muy baja"))))</x:f>
        <x:v>Media-alta</x:v>
      </x:c>
      <x:c r="U57" s="52" t="str">
        <x:v>China, Hong Kong y Asia</x:v>
      </x:c>
      <x:c r="V57" s="52" t="str">
        <x:v>Moderada-alta</x:v>
      </x:c>
      <x:c r="W57" s="52" t="str">
        <x:v>Reuters, Nikkei, Caixin y medios internacionales</x:v>
      </x:c>
      <x:c r="X57" s="52" t="str">
        <x:v>Nuevo recomendado</x:v>
      </x:c>
      <x:c r="Y57" s="52" t="str"/>
      <x:c r="Z57" s="80" t="str">
        <x:v>https://www.scmp.com/</x:v>
      </x:c>
      <x:c r="AA57" s="64" t="n">
        <x:v>46219</x:v>
      </x:c>
    </x:row>
    <x:row r="58">
      <x:c r="A58" s="60" t="n">
        <x:v>54</x:v>
      </x:c>
      <x:c r="B58" s="72" t="str">
        <x:v>The Hindu</x:v>
      </x:c>
      <x:c r="C58" s="76" t="str">
        <x:v>https://www.thehindu.com/</x:v>
      </x:c>
      <x:c r="D58" s="52" t="str">
        <x:v>India</x:v>
      </x:c>
      <x:c r="E58" s="52" t="str">
        <x:v>Asia</x:v>
      </x:c>
      <x:c r="F58" s="52" t="str">
        <x:v>Inglés</x:v>
      </x:c>
      <x:c r="G58" s="52" t="str">
        <x:v>Medio generalista</x:v>
      </x:c>
      <x:c r="H58" s="52" t="str">
        <x:v>Noticias y análisis</x:v>
      </x:c>
      <x:c r="I58" s="52" t="str">
        <x:v>Privado comercial</x:v>
      </x:c>
      <x:c r="J58" s="52" t="str">
        <x:v>Privado</x:v>
      </x:c>
      <x:c r="K58" s="52" t="str">
        <x:v>Centro-izquierda / institucional</x:v>
      </x:c>
      <x:c r="L58" s="52" t="str">
        <x:v>India</x:v>
      </x:c>
      <x:c r="M58" s="60" t="n">
        <x:v>4</x:v>
      </x:c>
      <x:c r="N58" s="60" t="n">
        <x:v>4</x:v>
      </x:c>
      <x:c r="O58" s="60" t="n">
        <x:v>4</x:v>
      </x:c>
      <x:c r="P58" s="60" t="n">
        <x:v>4</x:v>
      </x:c>
      <x:c r="Q58" s="60" t="n">
        <x:v>4</x:v>
      </x:c>
      <x:c r="R58" s="60" t="n">
        <x:v>4</x:v>
      </x:c>
      <x:c r="S58" s="68" t="n">
        <x:f>ROUND(AVERAGE(M58:R58),1)</x:f>
        <x:v>4</x:v>
      </x:c>
      <x:c r="T58" s="60" t="str">
        <x:f>IF(S58&gt;=4.3,"Alta",IF(S58&gt;=3.5,"Media-alta",IF(S58&gt;=2.7,"Media",IF(S58&gt;=2,"Baja","Muy baja"))))</x:f>
        <x:v>Media-alta</x:v>
      </x:c>
      <x:c r="U58" s="52" t="str">
        <x:v>India y Asia del Sur</x:v>
      </x:c>
      <x:c r="V58" s="52" t="str">
        <x:v>Moderada</x:v>
      </x:c>
      <x:c r="W58" s="52" t="str">
        <x:v>Reuters, PTI y medios regionales</x:v>
      </x:c>
      <x:c r="X58" s="52" t="str">
        <x:v>Nuevo recomendado</x:v>
      </x:c>
      <x:c r="Y58" s="52" t="str"/>
      <x:c r="Z58" s="80" t="str">
        <x:v>https://www.thehindu.com/</x:v>
      </x:c>
      <x:c r="AA58" s="64" t="n">
        <x:v>46219</x:v>
      </x:c>
    </x:row>
    <x:row r="59">
      <x:c r="A59" s="60" t="n">
        <x:v>55</x:v>
      </x:c>
      <x:c r="B59" s="72" t="str">
        <x:v>Dawn</x:v>
      </x:c>
      <x:c r="C59" s="76" t="str">
        <x:v>https://www.dawn.com/</x:v>
      </x:c>
      <x:c r="D59" s="52" t="str">
        <x:v>Pakistán</x:v>
      </x:c>
      <x:c r="E59" s="52" t="str">
        <x:v>Asia</x:v>
      </x:c>
      <x:c r="F59" s="52" t="str">
        <x:v>Inglés</x:v>
      </x:c>
      <x:c r="G59" s="52" t="str">
        <x:v>Medio generalista</x:v>
      </x:c>
      <x:c r="H59" s="52" t="str">
        <x:v>Noticias y opinión</x:v>
      </x:c>
      <x:c r="I59" s="52" t="str">
        <x:v>Privado comercial</x:v>
      </x:c>
      <x:c r="J59" s="52" t="str">
        <x:v>Privado</x:v>
      </x:c>
      <x:c r="K59" s="52" t="str">
        <x:v>Centro liberal</x:v>
      </x:c>
      <x:c r="L59" s="52" t="str">
        <x:v>Pakistán / Asia del Sur</x:v>
      </x:c>
      <x:c r="M59" s="60" t="n">
        <x:v>4</x:v>
      </x:c>
      <x:c r="N59" s="60" t="n">
        <x:v>4</x:v>
      </x:c>
      <x:c r="O59" s="60" t="n">
        <x:v>4</x:v>
      </x:c>
      <x:c r="P59" s="60" t="n">
        <x:v>4</x:v>
      </x:c>
      <x:c r="Q59" s="60" t="n">
        <x:v>4</x:v>
      </x:c>
      <x:c r="R59" s="60" t="n">
        <x:v>4</x:v>
      </x:c>
      <x:c r="S59" s="68" t="n">
        <x:f>ROUND(AVERAGE(M59:R59),1)</x:f>
        <x:v>4</x:v>
      </x:c>
      <x:c r="T59" s="60" t="str">
        <x:f>IF(S59&gt;=4.3,"Alta",IF(S59&gt;=3.5,"Media-alta",IF(S59&gt;=2.7,"Media",IF(S59&gt;=2,"Baja","Muy baja"))))</x:f>
        <x:v>Media-alta</x:v>
      </x:c>
      <x:c r="U59" s="52" t="str">
        <x:v>Pakistán, Afganistán y Asia del Sur</x:v>
      </x:c>
      <x:c r="V59" s="52" t="str">
        <x:v>Moderada</x:v>
      </x:c>
      <x:c r="W59" s="52" t="str">
        <x:v>Reuters, medios locales y fuentes oficiales</x:v>
      </x:c>
      <x:c r="X59" s="52" t="str">
        <x:v>Nuevo recomendado</x:v>
      </x:c>
      <x:c r="Y59" s="52" t="str"/>
      <x:c r="Z59" s="80" t="str">
        <x:v>https://www.dawn.com/</x:v>
      </x:c>
      <x:c r="AA59" s="64" t="n">
        <x:v>46219</x:v>
      </x:c>
    </x:row>
    <x:row r="60">
      <x:c r="A60" s="60" t="n">
        <x:v>56</x:v>
      </x:c>
      <x:c r="B60" s="72" t="str">
        <x:v>U.S. Energy Information Administration (EIA)</x:v>
      </x:c>
      <x:c r="C60" s="76" t="str">
        <x:v>https://www.eia.gov/</x:v>
      </x:c>
      <x:c r="D60" s="52" t="str">
        <x:v>Estados Unidos; alcance estadístico global</x:v>
      </x:c>
      <x:c r="E60" s="52" t="str">
        <x:v>Global</x:v>
      </x:c>
      <x:c r="F60" s="52" t="str">
        <x:v>Inglés</x:v>
      </x:c>
      <x:c r="G60" s="52" t="str">
        <x:v>Agencia gubernamental</x:v>
      </x:c>
      <x:c r="H60" s="52" t="str">
        <x:v>Datos y análisis energéticos</x:v>
      </x:c>
      <x:c r="I60" s="52" t="str">
        <x:v>Gobierno de Estados Unidos</x:v>
      </x:c>
      <x:c r="J60" s="52" t="str">
        <x:v>Oficial</x:v>
      </x:c>
      <x:c r="K60" s="52" t="str">
        <x:v>Técnica</x:v>
      </x:c>
      <x:c r="L60" s="52" t="str">
        <x:v>Estadounidense / energética</x:v>
      </x:c>
      <x:c r="M60" s="60" t="n">
        <x:v>5</x:v>
      </x:c>
      <x:c r="N60" s="60" t="n">
        <x:v>4</x:v>
      </x:c>
      <x:c r="O60" s="60" t="n">
        <x:v>5</x:v>
      </x:c>
      <x:c r="P60" s="60" t="n">
        <x:v>5</x:v>
      </x:c>
      <x:c r="Q60" s="60" t="n">
        <x:v>5</x:v>
      </x:c>
      <x:c r="R60" s="60" t="n">
        <x:v>5</x:v>
      </x:c>
      <x:c r="S60" s="68" t="n">
        <x:f>ROUND(AVERAGE(M60:R60),1)</x:f>
        <x:v>4.8</x:v>
      </x:c>
      <x:c r="T60" s="60" t="str">
        <x:f>IF(S60&gt;=4.3,"Alta",IF(S60&gt;=3.5,"Media-alta",IF(S60&gt;=2.7,"Media",IF(S60&gt;=2,"Baja","Muy baja"))))</x:f>
        <x:v>Alta</x:v>
      </x:c>
      <x:c r="U60" s="52" t="str">
        <x:v>Datos de energía, petróleo y gas</x:v>
      </x:c>
      <x:c r="V60" s="52" t="str">
        <x:v>Baja</x:v>
      </x:c>
      <x:c r="W60" s="52" t="str">
        <x:v>AIE, OPEP y estadísticas nacionales</x:v>
      </x:c>
      <x:c r="X60" s="52" t="str">
        <x:v>Activo</x:v>
      </x:c>
      <x:c r="Y60" s="52" t="str"/>
      <x:c r="Z60" s="80" t="str">
        <x:v>https://www.eia.gov/</x:v>
      </x:c>
      <x:c r="AA60" s="64" t="n">
        <x:v>46219</x:v>
      </x:c>
    </x:row>
    <x:row r="61">
      <x:c r="A61" s="60" t="n">
        <x:v>57</x:v>
      </x:c>
      <x:c r="B61" s="72" t="str">
        <x:v>IAEA / OIEA</x:v>
      </x:c>
      <x:c r="C61" s="76" t="str">
        <x:v>https://www.iaea.org/</x:v>
      </x:c>
      <x:c r="D61" s="52" t="str">
        <x:v>Organización internacional; sede en Viena</x:v>
      </x:c>
      <x:c r="E61" s="52" t="str">
        <x:v>Global</x:v>
      </x:c>
      <x:c r="F61" s="52" t="str">
        <x:v>Multilingüe</x:v>
      </x:c>
      <x:c r="G61" s="52" t="str">
        <x:v>Organismo internacional</x:v>
      </x:c>
      <x:c r="H61" s="52" t="str">
        <x:v>Verificación nuclear y salvaguardias</x:v>
      </x:c>
      <x:c r="I61" s="52" t="str">
        <x:v>Estados miembros</x:v>
      </x:c>
      <x:c r="J61" s="52" t="str">
        <x:v>Internacional</x:v>
      </x:c>
      <x:c r="K61" s="52" t="str">
        <x:v>Técnica / multilateral</x:v>
      </x:c>
      <x:c r="L61" s="52" t="str">
        <x:v>No proliferación nuclear</x:v>
      </x:c>
      <x:c r="M61" s="60" t="n">
        <x:v>5</x:v>
      </x:c>
      <x:c r="N61" s="60" t="n">
        <x:v>4</x:v>
      </x:c>
      <x:c r="O61" s="60" t="n">
        <x:v>5</x:v>
      </x:c>
      <x:c r="P61" s="60" t="n">
        <x:v>5</x:v>
      </x:c>
      <x:c r="Q61" s="60" t="n">
        <x:v>5</x:v>
      </x:c>
      <x:c r="R61" s="60" t="n">
        <x:v>5</x:v>
      </x:c>
      <x:c r="S61" s="68" t="n">
        <x:f>ROUND(AVERAGE(M61:R61),1)</x:f>
        <x:v>4.8</x:v>
      </x:c>
      <x:c r="T61" s="60" t="str">
        <x:f>IF(S61&gt;=4.3,"Alta",IF(S61&gt;=3.5,"Media-alta",IF(S61&gt;=2.7,"Media",IF(S61&gt;=2,"Baja","Muy baja"))))</x:f>
        <x:v>Alta</x:v>
      </x:c>
      <x:c r="U61" s="52" t="str">
        <x:v>Verificación nuclear y documentos técnicos</x:v>
      </x:c>
      <x:c r="V61" s="52" t="str">
        <x:v>Baja a moderada</x:v>
      </x:c>
      <x:c r="W61" s="52" t="str">
        <x:v>Informes nacionales y documentación complementaria</x:v>
      </x:c>
      <x:c r="X61" s="52" t="str">
        <x:v>Activo</x:v>
      </x:c>
      <x:c r="Y61" s="52" t="str">
        <x:v>Corregido: Austria es la sede, no la nacionalidad institucional.</x:v>
      </x:c>
      <x:c r="Z61" s="80" t="str">
        <x:v>https://www.iaea.org/about/partnerships/united-nations-system</x:v>
      </x:c>
      <x:c r="AA61" s="64" t="n">
        <x:v>46219</x:v>
      </x:c>
    </x:row>
    <x:row r="62">
      <x:c r="A62" s="60" t="n">
        <x:v>58</x:v>
      </x:c>
      <x:c r="B62" s="72" t="str">
        <x:v>United Nations (ONU)</x:v>
      </x:c>
      <x:c r="C62" s="76" t="str">
        <x:v>https://www.un.org/</x:v>
      </x:c>
      <x:c r="D62" s="52" t="str">
        <x:v>Organización internacional; sede principal en Nueva York</x:v>
      </x:c>
      <x:c r="E62" s="52" t="str">
        <x:v>Global</x:v>
      </x:c>
      <x:c r="F62" s="52" t="str">
        <x:v>Multilingüe</x:v>
      </x:c>
      <x:c r="G62" s="52" t="str">
        <x:v>Organismo internacional</x:v>
      </x:c>
      <x:c r="H62" s="52" t="str">
        <x:v>Documentos, resoluciones, datos y declaraciones</x:v>
      </x:c>
      <x:c r="I62" s="52" t="str">
        <x:v>Estados miembros</x:v>
      </x:c>
      <x:c r="J62" s="52" t="str">
        <x:v>Internacional</x:v>
      </x:c>
      <x:c r="K62" s="52" t="str">
        <x:v>Multilateral</x:v>
      </x:c>
      <x:c r="L62" s="52" t="str">
        <x:v>Sistema ONU</x:v>
      </x:c>
      <x:c r="M62" s="60" t="n">
        <x:v>4</x:v>
      </x:c>
      <x:c r="N62" s="60" t="n">
        <x:v>3</x:v>
      </x:c>
      <x:c r="O62" s="60" t="n">
        <x:v>5</x:v>
      </x:c>
      <x:c r="P62" s="60" t="n">
        <x:v>4</x:v>
      </x:c>
      <x:c r="Q62" s="60" t="n">
        <x:v>4</x:v>
      </x:c>
      <x:c r="R62" s="60" t="n">
        <x:v>5</x:v>
      </x:c>
      <x:c r="S62" s="68" t="n">
        <x:f>ROUND(AVERAGE(M62:R62),1)</x:f>
        <x:v>4.2</x:v>
      </x:c>
      <x:c r="T62" s="60" t="str">
        <x:f>IF(S62&gt;=4.3,"Alta",IF(S62&gt;=3.5,"Media-alta",IF(S62&gt;=2.7,"Media",IF(S62&gt;=2,"Baja","Muy baja"))))</x:f>
        <x:v>Media-alta</x:v>
      </x:c>
      <x:c r="U62" s="52" t="str">
        <x:v>Resoluciones, informes y posiciones oficiales</x:v>
      </x:c>
      <x:c r="V62" s="52" t="str">
        <x:v>Moderada</x:v>
      </x:c>
      <x:c r="W62" s="52" t="str">
        <x:v>Agencias, Estados miembros y fuentes independientes</x:v>
      </x:c>
      <x:c r="X62" s="52" t="str">
        <x:v>Activo</x:v>
      </x:c>
      <x:c r="Y62" s="52" t="str">
        <x:v>Corregido: no asignar como país Estados Unidos.</x:v>
      </x:c>
      <x:c r="Z62" s="80" t="str">
        <x:v>https://www.un.org/en/about-us</x:v>
      </x:c>
      <x:c r="AA62" s="64" t="n">
        <x:v>46219</x:v>
      </x:c>
    </x:row>
    <x:row r="63">
      <x:c r="A63" s="60" t="n">
        <x:v>59</x:v>
      </x:c>
      <x:c r="B63" s="72" t="str">
        <x:v>UNESCO</x:v>
      </x:c>
      <x:c r="C63" s="76" t="str">
        <x:v>https://www.unesco.org/</x:v>
      </x:c>
      <x:c r="D63" s="52" t="str">
        <x:v>Organización internacional; sede en París</x:v>
      </x:c>
      <x:c r="E63" s="52" t="str">
        <x:v>Global</x:v>
      </x:c>
      <x:c r="F63" s="52" t="str">
        <x:v>Multilingüe</x:v>
      </x:c>
      <x:c r="G63" s="52" t="str">
        <x:v>Organismo internacional</x:v>
      </x:c>
      <x:c r="H63" s="52" t="str">
        <x:v>Datos, normas y programas</x:v>
      </x:c>
      <x:c r="I63" s="52" t="str">
        <x:v>Estados miembros</x:v>
      </x:c>
      <x:c r="J63" s="52" t="str">
        <x:v>Internacional</x:v>
      </x:c>
      <x:c r="K63" s="52" t="str">
        <x:v>Multilateral</x:v>
      </x:c>
      <x:c r="L63" s="52" t="str">
        <x:v>Educación, ciencia y cultura</x:v>
      </x:c>
      <x:c r="M63" s="60" t="n">
        <x:v>4</x:v>
      </x:c>
      <x:c r="N63" s="60" t="n">
        <x:v>4</x:v>
      </x:c>
      <x:c r="O63" s="60" t="n">
        <x:v>5</x:v>
      </x:c>
      <x:c r="P63" s="60" t="n">
        <x:v>4</x:v>
      </x:c>
      <x:c r="Q63" s="60" t="n">
        <x:v>4</x:v>
      </x:c>
      <x:c r="R63" s="60" t="n">
        <x:v>5</x:v>
      </x:c>
      <x:c r="S63" s="68" t="n">
        <x:f>ROUND(AVERAGE(M63:R63),1)</x:f>
        <x:v>4.3</x:v>
      </x:c>
      <x:c r="T63" s="60" t="str">
        <x:f>IF(S63&gt;=4.3,"Alta",IF(S63&gt;=3.5,"Media-alta",IF(S63&gt;=2.7,"Media",IF(S63&gt;=2,"Baja","Muy baja"))))</x:f>
        <x:v>Alta</x:v>
      </x:c>
      <x:c r="U63" s="52" t="str">
        <x:v>Datos institucionales, patrimonio y libertad de expresión</x:v>
      </x:c>
      <x:c r="V63" s="52" t="str">
        <x:v>Moderada</x:v>
      </x:c>
      <x:c r="W63" s="52" t="str">
        <x:v>Estadísticas nacionales y fuentes académicas</x:v>
      </x:c>
      <x:c r="X63" s="52" t="str">
        <x:v>Activo</x:v>
      </x:c>
      <x:c r="Y63" s="52" t="str"/>
      <x:c r="Z63" s="80" t="str">
        <x:v>https://www.unesco.org/</x:v>
      </x:c>
      <x:c r="AA63" s="64" t="n">
        <x:v>46219</x:v>
      </x:c>
    </x:row>
    <x:row r="64">
      <x:c r="A64" s="60" t="n">
        <x:v>60</x:v>
      </x:c>
      <x:c r="B64" s="72" t="str">
        <x:v>U.S. CENTCOM</x:v>
      </x:c>
      <x:c r="C64" s="76" t="str">
        <x:v>https://www.centcom.mil/</x:v>
      </x:c>
      <x:c r="D64" s="52" t="str">
        <x:v>Estados Unidos; área de responsabilidad regional</x:v>
      </x:c>
      <x:c r="E64" s="52" t="str">
        <x:v>Medio Oriente/Asia Central</x:v>
      </x:c>
      <x:c r="F64" s="52" t="str">
        <x:v>Inglés</x:v>
      </x:c>
      <x:c r="G64" s="52" t="str">
        <x:v>Comando militar</x:v>
      </x:c>
      <x:c r="H64" s="52" t="str">
        <x:v>Comunicados y posición operativa oficial</x:v>
      </x:c>
      <x:c r="I64" s="52" t="str">
        <x:v>Gobierno de Estados Unidos</x:v>
      </x:c>
      <x:c r="J64" s="52" t="str">
        <x:v>Oficial / parte interesada</x:v>
      </x:c>
      <x:c r="K64" s="52" t="str">
        <x:v>Línea oficial militar</x:v>
      </x:c>
      <x:c r="L64" s="52" t="str">
        <x:v>Estadounidense / militar</x:v>
      </x:c>
      <x:c r="M64" s="60" t="n">
        <x:v>3</x:v>
      </x:c>
      <x:c r="N64" s="60" t="n">
        <x:v>1</x:v>
      </x:c>
      <x:c r="O64" s="60" t="n">
        <x:v>5</x:v>
      </x:c>
      <x:c r="P64" s="60" t="n">
        <x:v>3</x:v>
      </x:c>
      <x:c r="Q64" s="60" t="n">
        <x:v>3</x:v>
      </x:c>
      <x:c r="R64" s="60" t="n">
        <x:v>4</x:v>
      </x:c>
      <x:c r="S64" s="68" t="n">
        <x:f>ROUND(AVERAGE(M64:R64),1)</x:f>
        <x:v>3.2</x:v>
      </x:c>
      <x:c r="T64" s="60" t="str">
        <x:f>IF(S64&gt;=4.3,"Alta",IF(S64&gt;=3.5,"Media-alta",IF(S64&gt;=2.7,"Media",IF(S64&gt;=2,"Baja","Muy baja"))))</x:f>
        <x:v>Media</x:v>
      </x:c>
      <x:c r="U64" s="52" t="str">
        <x:v>Declaraciones oficiales y cronología militar estadounidense</x:v>
      </x:c>
      <x:c r="V64" s="52" t="str">
        <x:v>Obligatoria</x:v>
      </x:c>
      <x:c r="W64" s="52" t="str">
        <x:v>Prensa independiente, imágenes, ONU y contraparte local</x:v>
      </x:c>
      <x:c r="X64" s="52" t="str">
        <x:v>Uso condicionado</x:v>
      </x:c>
      <x:c r="Y64" s="52" t="str">
        <x:v>Fuente primaria, no verificación independiente.</x:v>
      </x:c>
      <x:c r="Z64" s="80" t="str">
        <x:v>https://www.centcom.mil/</x:v>
      </x:c>
      <x:c r="AA64" s="64" t="n">
        <x:v>46219</x:v>
      </x:c>
    </x:row>
    <x:row r="65">
      <x:c r="A65" s="60" t="n">
        <x:v>61</x:v>
      </x:c>
      <x:c r="B65" s="72" t="str">
        <x:v>ICRC / CICR</x:v>
      </x:c>
      <x:c r="C65" s="76" t="str">
        <x:v>https://www.icrc.org/</x:v>
      </x:c>
      <x:c r="D65" s="52" t="str">
        <x:v>Organización internacional humanitaria; sede en Ginebra</x:v>
      </x:c>
      <x:c r="E65" s="52" t="str">
        <x:v>Global</x:v>
      </x:c>
      <x:c r="F65" s="52" t="str">
        <x:v>Multilingüe</x:v>
      </x:c>
      <x:c r="G65" s="52" t="str">
        <x:v>Organización humanitaria</x:v>
      </x:c>
      <x:c r="H65" s="52" t="str">
        <x:v>Derecho humanitario, acceso y situación humanitaria</x:v>
      </x:c>
      <x:c r="I65" s="52" t="str">
        <x:v>Financiación multilateral y donaciones</x:v>
      </x:c>
      <x:c r="J65" s="52" t="str">
        <x:v>Internacional/ONG</x:v>
      </x:c>
      <x:c r="K65" s="52" t="str">
        <x:v>Humanitaria / neutralidad operacional</x:v>
      </x:c>
      <x:c r="L65" s="52" t="str">
        <x:v>Derecho internacional humanitario</x:v>
      </x:c>
      <x:c r="M65" s="60" t="n">
        <x:v>5</x:v>
      </x:c>
      <x:c r="N65" s="60" t="n">
        <x:v>5</x:v>
      </x:c>
      <x:c r="O65" s="60" t="n">
        <x:v>5</x:v>
      </x:c>
      <x:c r="P65" s="60" t="n">
        <x:v>5</x:v>
      </x:c>
      <x:c r="Q65" s="60" t="n">
        <x:v>4</x:v>
      </x:c>
      <x:c r="R65" s="60" t="n">
        <x:v>5</x:v>
      </x:c>
      <x:c r="S65" s="68" t="n">
        <x:f>ROUND(AVERAGE(M65:R65),1)</x:f>
        <x:v>4.8</x:v>
      </x:c>
      <x:c r="T65" s="60" t="str">
        <x:f>IF(S65&gt;=4.3,"Alta",IF(S65&gt;=3.5,"Media-alta",IF(S65&gt;=2.7,"Media",IF(S65&gt;=2,"Baja","Muy baja"))))</x:f>
        <x:v>Alta</x:v>
      </x:c>
      <x:c r="U65" s="52" t="str">
        <x:v>Derecho humanitario y situación de civiles</x:v>
      </x:c>
      <x:c r="V65" s="52" t="str">
        <x:v>Moderada</x:v>
      </x:c>
      <x:c r="W65" s="52" t="str">
        <x:v>ONU, ONG locales y fuentes de terreno</x:v>
      </x:c>
      <x:c r="X65" s="52" t="str">
        <x:v>Nuevo recomendado</x:v>
      </x:c>
      <x:c r="Y65" s="52" t="str"/>
      <x:c r="Z65" s="80" t="str">
        <x:v>https://www.icrc.org/</x:v>
      </x:c>
      <x:c r="AA65" s="64" t="n">
        <x:v>46219</x:v>
      </x:c>
    </x:row>
    <x:row r="66">
      <x:c r="A66" s="60" t="n">
        <x:v>62</x:v>
      </x:c>
      <x:c r="B66" s="72" t="str">
        <x:v>Bellingcat</x:v>
      </x:c>
      <x:c r="C66" s="76" t="str">
        <x:v>https://www.bellingcat.com/</x:v>
      </x:c>
      <x:c r="D66" s="52" t="str">
        <x:v>Países Bajos; red internacional</x:v>
      </x:c>
      <x:c r="E66" s="52" t="str">
        <x:v>Global</x:v>
      </x:c>
      <x:c r="F66" s="52" t="str">
        <x:v>Inglés y otros</x:v>
      </x:c>
      <x:c r="G66" s="52" t="str">
        <x:v>OSINT / investigación</x:v>
      </x:c>
      <x:c r="H66" s="52" t="str">
        <x:v>Verificación visual y reconstrucción de hechos</x:v>
      </x:c>
      <x:c r="I66" s="52" t="str">
        <x:v>Organización independiente</x:v>
      </x:c>
      <x:c r="J66" s="52" t="str">
        <x:v>Independiente</x:v>
      </x:c>
      <x:c r="K66" s="52" t="str">
        <x:v>Liberal / derechos humanos</x:v>
      </x:c>
      <x:c r="L66" s="52" t="str">
        <x:v>OSINT transnacional</x:v>
      </x:c>
      <x:c r="M66" s="60" t="n">
        <x:v>5</x:v>
      </x:c>
      <x:c r="N66" s="60" t="n">
        <x:v>4</x:v>
      </x:c>
      <x:c r="O66" s="60" t="n">
        <x:v>5</x:v>
      </x:c>
      <x:c r="P66" s="60" t="n">
        <x:v>5</x:v>
      </x:c>
      <x:c r="Q66" s="60" t="n">
        <x:v>4</x:v>
      </x:c>
      <x:c r="R66" s="60" t="n">
        <x:v>5</x:v>
      </x:c>
      <x:c r="S66" s="68" t="n">
        <x:f>ROUND(AVERAGE(M66:R66),1)</x:f>
        <x:v>4.7</x:v>
      </x:c>
      <x:c r="T66" s="60" t="str">
        <x:f>IF(S66&gt;=4.3,"Alta",IF(S66&gt;=3.5,"Media-alta",IF(S66&gt;=2.7,"Media",IF(S66&gt;=2,"Baja","Muy baja"))))</x:f>
        <x:v>Alta</x:v>
      </x:c>
      <x:c r="U66" s="52" t="str">
        <x:v>Geolocalización, imágenes y verificación digital</x:v>
      </x:c>
      <x:c r="V66" s="52" t="str">
        <x:v>Moderada</x:v>
      </x:c>
      <x:c r="W66" s="52" t="str">
        <x:v>Datos originales, expertos y otras investigaciones OSINT</x:v>
      </x:c>
      <x:c r="X66" s="52" t="str">
        <x:v>Activo</x:v>
      </x:c>
      <x:c r="Y66" s="52" t="str"/>
      <x:c r="Z66" s="80" t="str">
        <x:v>https://www.bellingcat.com/</x:v>
      </x:c>
      <x:c r="AA66" s="64" t="n">
        <x:v>46219</x:v>
      </x:c>
    </x:row>
    <x:row r="67">
      <x:c r="A67" s="60" t="n">
        <x:v>63</x:v>
      </x:c>
      <x:c r="B67" s="72" t="str">
        <x:v>Media Bias/Fact Check</x:v>
      </x:c>
      <x:c r="C67" s="76" t="str">
        <x:v>https://mediabiasfactcheck.com/</x:v>
      </x:c>
      <x:c r="D67" s="52" t="str">
        <x:v>Estados Unidos</x:v>
      </x:c>
      <x:c r="E67" s="52" t="str">
        <x:v>Global</x:v>
      </x:c>
      <x:c r="F67" s="52" t="str">
        <x:v>Inglés</x:v>
      </x:c>
      <x:c r="G67" s="52" t="str">
        <x:v>Observatorio de medios</x:v>
      </x:c>
      <x:c r="H67" s="52" t="str">
        <x:v>Guía secundaria sobre sesgo y factualidad</x:v>
      </x:c>
      <x:c r="I67" s="52" t="str">
        <x:v>Sitio privado</x:v>
      </x:c>
      <x:c r="J67" s="52" t="str">
        <x:v>Privado</x:v>
      </x:c>
      <x:c r="K67" s="52" t="str">
        <x:v>Centro</x:v>
      </x:c>
      <x:c r="L67" s="52" t="str">
        <x:v>Evaluación mediática estadounidense</x:v>
      </x:c>
      <x:c r="M67" s="60" t="n">
        <x:v>3</x:v>
      </x:c>
      <x:c r="N67" s="60" t="n">
        <x:v>3</x:v>
      </x:c>
      <x:c r="O67" s="60" t="n">
        <x:v>3</x:v>
      </x:c>
      <x:c r="P67" s="60" t="n">
        <x:v>3</x:v>
      </x:c>
      <x:c r="Q67" s="60" t="n">
        <x:v>3</x:v>
      </x:c>
      <x:c r="R67" s="60" t="n">
        <x:v>4</x:v>
      </x:c>
      <x:c r="S67" s="68" t="n">
        <x:f>ROUND(AVERAGE(M67:R67),1)</x:f>
        <x:v>3.2</x:v>
      </x:c>
      <x:c r="T67" s="60" t="str">
        <x:f>IF(S67&gt;=4.3,"Alta",IF(S67&gt;=3.5,"Media-alta",IF(S67&gt;=2.7,"Media",IF(S67&gt;=2,"Baja","Muy baja"))))</x:f>
        <x:v>Media</x:v>
      </x:c>
      <x:c r="U67" s="52" t="str">
        <x:v>Orientación inicial; nunca árbitro único</x:v>
      </x:c>
      <x:c r="V67" s="52" t="str">
        <x:v>Alta</x:v>
      </x:c>
      <x:c r="W67" s="52" t="str">
        <x:v>NewsGuard, Ad Fontes, AllSides y análisis propio</x:v>
      </x:c>
      <x:c r="X67" s="52" t="str">
        <x:v>Secundario</x:v>
      </x:c>
      <x:c r="Y67" s="52" t="str">
        <x:v>La propia metodología reconoce que no es un método científico probado.</x:v>
      </x:c>
      <x:c r="Z67" s="80" t="str">
        <x:v>https://mediabiasfactcheck.com/methodology/</x:v>
      </x:c>
      <x:c r="AA67" s="64" t="n">
        <x:v>46219</x:v>
      </x:c>
    </x:row>
    <x:row r="68">
      <x:c r="A68" s="60" t="n">
        <x:v>64</x:v>
      </x:c>
      <x:c r="B68" s="72" t="str">
        <x:v>The Intercept</x:v>
      </x:c>
      <x:c r="C68" s="76" t="str">
        <x:v>https://theintercept.com/</x:v>
      </x:c>
      <x:c r="D68" s="52" t="str">
        <x:v>Estados Unidos; alcance global</x:v>
      </x:c>
      <x:c r="E68" s="52" t="str">
        <x:v>Global</x:v>
      </x:c>
      <x:c r="F68" s="52" t="str">
        <x:v>Inglés</x:v>
      </x:c>
      <x:c r="G68" s="52" t="str">
        <x:v>Medio de investigación</x:v>
      </x:c>
      <x:c r="H68" s="52" t="str">
        <x:v>Investigación, filtraciones y opinión</x:v>
      </x:c>
      <x:c r="I68" s="52" t="str">
        <x:v>Independiente / sin fines de lucro</x:v>
      </x:c>
      <x:c r="J68" s="52" t="str">
        <x:v>Independiente</x:v>
      </x:c>
      <x:c r="K68" s="52" t="str">
        <x:v>Izquierda</x:v>
      </x:c>
      <x:c r="L68" s="52" t="str">
        <x:v>Antivigilancia / antiintervencionista</x:v>
      </x:c>
      <x:c r="M68" s="60" t="n">
        <x:v>4</x:v>
      </x:c>
      <x:c r="N68" s="60" t="n">
        <x:v>4</x:v>
      </x:c>
      <x:c r="O68" s="60" t="n">
        <x:v>3</x:v>
      </x:c>
      <x:c r="P68" s="60" t="n">
        <x:v>4</x:v>
      </x:c>
      <x:c r="Q68" s="60" t="n">
        <x:v>3</x:v>
      </x:c>
      <x:c r="R68" s="60" t="n">
        <x:v>3</x:v>
      </x:c>
      <x:c r="S68" s="68" t="n">
        <x:f>ROUND(AVERAGE(M68:R68),1)</x:f>
        <x:v>3.5</x:v>
      </x:c>
      <x:c r="T68" s="60" t="str">
        <x:f>IF(S68&gt;=4.3,"Alta",IF(S68&gt;=3.5,"Media-alta",IF(S68&gt;=2.7,"Media",IF(S68&gt;=2,"Baja","Muy baja"))))</x:f>
        <x:v>Media-alta</x:v>
      </x:c>
      <x:c r="U68" s="52" t="str">
        <x:v>Investigaciones y documentos filtrados</x:v>
      </x:c>
      <x:c r="V68" s="52" t="str">
        <x:v>Alta</x:v>
      </x:c>
      <x:c r="W68" s="52" t="str">
        <x:v>Documentos originales, respuestas de implicados y agencias</x:v>
      </x:c>
      <x:c r="X68" s="52" t="str">
        <x:v>Uso condicionado</x:v>
      </x:c>
      <x:c r="Y68" s="52" t="str">
        <x:v>Sólido en investigación; fuerte marco editorial.</x:v>
      </x:c>
      <x:c r="Z68" s="80" t="str">
        <x:v>https://theintercept.com/</x:v>
      </x:c>
      <x:c r="AA68" s="64" t="n">
        <x:v>46219</x:v>
      </x:c>
    </x:row>
    <x:row r="69">
      <x:c r="A69" s="60" t="n">
        <x:v>65</x:v>
      </x:c>
      <x:c r="B69" s="72" t="str">
        <x:v>The Seventh Eye</x:v>
      </x:c>
      <x:c r="C69" s="76" t="str">
        <x:v>https://www.the7eye.org.il/</x:v>
      </x:c>
      <x:c r="D69" s="52" t="str">
        <x:v>Israel</x:v>
      </x:c>
      <x:c r="E69" s="52" t="str">
        <x:v>Medio Oriente</x:v>
      </x:c>
      <x:c r="F69" s="52" t="str">
        <x:v>Hebreo</x:v>
      </x:c>
      <x:c r="G69" s="52" t="str">
        <x:v>Watchdog de medios</x:v>
      </x:c>
      <x:c r="H69" s="52" t="str">
        <x:v>Análisis de medios, propiedad y ética</x:v>
      </x:c>
      <x:c r="I69" s="52" t="str">
        <x:v>Organización independiente</x:v>
      </x:c>
      <x:c r="J69" s="52" t="str">
        <x:v>Independiente</x:v>
      </x:c>
      <x:c r="K69" s="52" t="str">
        <x:v>Crítico / plural</x:v>
      </x:c>
      <x:c r="L69" s="52" t="str">
        <x:v>Israelí / observación mediática</x:v>
      </x:c>
      <x:c r="M69" s="60" t="n">
        <x:v>4</x:v>
      </x:c>
      <x:c r="N69" s="60" t="n">
        <x:v>4</x:v>
      </x:c>
      <x:c r="O69" s="60" t="n">
        <x:v>4</x:v>
      </x:c>
      <x:c r="P69" s="60" t="n">
        <x:v>4</x:v>
      </x:c>
      <x:c r="Q69" s="60" t="n">
        <x:v>3</x:v>
      </x:c>
      <x:c r="R69" s="60" t="n">
        <x:v>5</x:v>
      </x:c>
      <x:c r="S69" s="68" t="n">
        <x:f>ROUND(AVERAGE(M69:R69),1)</x:f>
        <x:v>4</x:v>
      </x:c>
      <x:c r="T69" s="60" t="str">
        <x:f>IF(S69&gt;=4.3,"Alta",IF(S69&gt;=3.5,"Media-alta",IF(S69&gt;=2.7,"Media",IF(S69&gt;=2,"Baja","Muy baja"))))</x:f>
        <x:v>Media-alta</x:v>
      </x:c>
      <x:c r="U69" s="52" t="str">
        <x:v>Ecosistema mediático israelí y conflictos de interés</x:v>
      </x:c>
      <x:c r="V69" s="52" t="str">
        <x:v>Moderada</x:v>
      </x:c>
      <x:c r="W69" s="52" t="str">
        <x:v>Documentos corporativos y otras evaluaciones</x:v>
      </x:c>
      <x:c r="X69" s="52" t="str">
        <x:v>Activo</x:v>
      </x:c>
      <x:c r="Y69" s="52" t="str"/>
      <x:c r="Z69" s="80" t="str">
        <x:v>https://www.the7eye.org.il/</x:v>
      </x:c>
      <x:c r="AA69" s="64" t="n">
        <x:v>46219</x:v>
      </x:c>
    </x:row>
    <x:row r="70">
      <x:c r="A70" s="60" t="n">
        <x:v>66</x:v>
      </x:c>
      <x:c r="B70" s="72" t="str">
        <x:v>Iran Human Rights</x:v>
      </x:c>
      <x:c r="C70" s="76" t="str">
        <x:v>https://iranhr.net/en/</x:v>
      </x:c>
      <x:c r="D70" s="52" t="str">
        <x:v>Noruega; foco en Irán</x:v>
      </x:c>
      <x:c r="E70" s="52" t="str">
        <x:v>Irán</x:v>
      </x:c>
      <x:c r="F70" s="52" t="str">
        <x:v>Persa/Inglés</x:v>
      </x:c>
      <x:c r="G70" s="52" t="str">
        <x:v>ONG de derechos humanos</x:v>
      </x:c>
      <x:c r="H70" s="52" t="str">
        <x:v>Documentación y advocacy</x:v>
      </x:c>
      <x:c r="I70" s="52" t="str">
        <x:v>Donaciones / ONG</x:v>
      </x:c>
      <x:c r="J70" s="52" t="str">
        <x:v>ONG/advocacy</x:v>
      </x:c>
      <x:c r="K70" s="52" t="str">
        <x:v>Derechos humanos / crítica del régimen</x:v>
      </x:c>
      <x:c r="L70" s="52" t="str">
        <x:v>Diáspora iraní</x:v>
      </x:c>
      <x:c r="M70" s="60" t="n">
        <x:v>4</x:v>
      </x:c>
      <x:c r="N70" s="60" t="n">
        <x:v>4</x:v>
      </x:c>
      <x:c r="O70" s="60" t="n">
        <x:v>4</x:v>
      </x:c>
      <x:c r="P70" s="60" t="n">
        <x:v>4</x:v>
      </x:c>
      <x:c r="Q70" s="60" t="n">
        <x:v>3</x:v>
      </x:c>
      <x:c r="R70" s="60" t="n">
        <x:v>4</x:v>
      </x:c>
      <x:c r="S70" s="68" t="n">
        <x:f>ROUND(AVERAGE(M70:R70),1)</x:f>
        <x:v>3.8</x:v>
      </x:c>
      <x:c r="T70" s="60" t="str">
        <x:f>IF(S70&gt;=4.3,"Alta",IF(S70&gt;=3.5,"Media-alta",IF(S70&gt;=2.7,"Media",IF(S70&gt;=2,"Baja","Muy baja"))))</x:f>
        <x:v>Media-alta</x:v>
      </x:c>
      <x:c r="U70" s="52" t="str">
        <x:v>Ejecuciones y violaciones de derechos humanos</x:v>
      </x:c>
      <x:c r="V70" s="52" t="str">
        <x:v>Alta</x:v>
      </x:c>
      <x:c r="W70" s="52" t="str">
        <x:v>ONU, HRW, Amnistía y fuentes internas independientes</x:v>
      </x:c>
      <x:c r="X70" s="52" t="str">
        <x:v>Uso condicionado</x:v>
      </x:c>
      <x:c r="Y70" s="52" t="str"/>
      <x:c r="Z70" s="80" t="str">
        <x:v>https://iranhr.net/en/</x:v>
      </x:c>
      <x:c r="AA70" s="64" t="n">
        <x:v>46219</x:v>
      </x:c>
    </x:row>
    <x:row r="71">
      <x:c r="A71" s="60" t="n">
        <x:v>67</x:v>
      </x:c>
      <x:c r="B71" s="72" t="str">
        <x:v>IranWire</x:v>
      </x:c>
      <x:c r="C71" s="76" t="str">
        <x:v>https://iranwire.com/en/</x:v>
      </x:c>
      <x:c r="D71" s="52" t="str">
        <x:v>Diáspora; foco en Irán</x:v>
      </x:c>
      <x:c r="E71" s="52" t="str">
        <x:v>Irán</x:v>
      </x:c>
      <x:c r="F71" s="52" t="str">
        <x:v>Persa/Inglés</x:v>
      </x:c>
      <x:c r="G71" s="52" t="str">
        <x:v>Medio de oposición / DD. HH.</x:v>
      </x:c>
      <x:c r="H71" s="52" t="str">
        <x:v>Noticias, testimonios y documentación</x:v>
      </x:c>
      <x:c r="I71" s="52" t="str">
        <x:v>Independiente / diáspora</x:v>
      </x:c>
      <x:c r="J71" s="52" t="str">
        <x:v>Independiente</x:v>
      </x:c>
      <x:c r="K71" s="52" t="str">
        <x:v>Crítico del régimen</x:v>
      </x:c>
      <x:c r="L71" s="52" t="str">
        <x:v>Diáspora iraní</x:v>
      </x:c>
      <x:c r="M71" s="60" t="n">
        <x:v>3</x:v>
      </x:c>
      <x:c r="N71" s="60" t="n">
        <x:v>4</x:v>
      </x:c>
      <x:c r="O71" s="60" t="n">
        <x:v>3</x:v>
      </x:c>
      <x:c r="P71" s="60" t="n">
        <x:v>3</x:v>
      </x:c>
      <x:c r="Q71" s="60" t="n">
        <x:v>3</x:v>
      </x:c>
      <x:c r="R71" s="60" t="n">
        <x:v>4</x:v>
      </x:c>
      <x:c r="S71" s="68" t="n">
        <x:f>ROUND(AVERAGE(M71:R71),1)</x:f>
        <x:v>3.3</x:v>
      </x:c>
      <x:c r="T71" s="60" t="str">
        <x:f>IF(S71&gt;=4.3,"Alta",IF(S71&gt;=3.5,"Media-alta",IF(S71&gt;=2.7,"Media",IF(S71&gt;=2,"Baja","Muy baja"))))</x:f>
        <x:v>Media</x:v>
      </x:c>
      <x:c r="U71" s="52" t="str">
        <x:v>Testimonios, sociedad iraní y temas censurados</x:v>
      </x:c>
      <x:c r="V71" s="52" t="str">
        <x:v>Alta</x:v>
      </x:c>
      <x:c r="W71" s="52" t="str">
        <x:v>Reuters, ONU, BBC Persian y verificación documental</x:v>
      </x:c>
      <x:c r="X71" s="52" t="str">
        <x:v>Uso condicionado</x:v>
      </x:c>
      <x:c r="Y71" s="52" t="str"/>
      <x:c r="Z71" s="80" t="str">
        <x:v>https://iranwire.com/en/</x:v>
      </x:c>
      <x:c r="AA71" s="64" t="n">
        <x:v>46219</x:v>
      </x:c>
    </x:row>
    <x:row r="72">
      <x:c r="A72" s="60" t="n">
        <x:v>68</x:v>
      </x:c>
      <x:c r="B72" s="72" t="str">
        <x:v>ACLED</x:v>
      </x:c>
      <x:c r="C72" s="76" t="str">
        <x:v>https://acleddata.com/</x:v>
      </x:c>
      <x:c r="D72" s="52" t="str">
        <x:v>Organización internacional de datos</x:v>
      </x:c>
      <x:c r="E72" s="52" t="str">
        <x:v>Global</x:v>
      </x:c>
      <x:c r="F72" s="52" t="str">
        <x:v>Inglés</x:v>
      </x:c>
      <x:c r="G72" s="52" t="str">
        <x:v>Base de datos de conflictos</x:v>
      </x:c>
      <x:c r="H72" s="52" t="str">
        <x:v>Datos estructurados sobre violencia política</x:v>
      </x:c>
      <x:c r="I72" s="52" t="str">
        <x:v>Organización independiente</x:v>
      </x:c>
      <x:c r="J72" s="52" t="str">
        <x:v>ONG/datos</x:v>
      </x:c>
      <x:c r="K72" s="52" t="str">
        <x:v>Metodológica</x:v>
      </x:c>
      <x:c r="L72" s="52" t="str">
        <x:v>Global / conflicto</x:v>
      </x:c>
      <x:c r="M72" s="60" t="n">
        <x:v>5</x:v>
      </x:c>
      <x:c r="N72" s="60" t="n">
        <x:v>5</x:v>
      </x:c>
      <x:c r="O72" s="60" t="n">
        <x:v>5</x:v>
      </x:c>
      <x:c r="P72" s="60" t="n">
        <x:v>5</x:v>
      </x:c>
      <x:c r="Q72" s="60" t="n">
        <x:v>4</x:v>
      </x:c>
      <x:c r="R72" s="60" t="n">
        <x:v>5</x:v>
      </x:c>
      <x:c r="S72" s="68" t="n">
        <x:f>ROUND(AVERAGE(M72:R72),1)</x:f>
        <x:v>4.8</x:v>
      </x:c>
      <x:c r="T72" s="60" t="str">
        <x:f>IF(S72&gt;=4.3,"Alta",IF(S72&gt;=3.5,"Media-alta",IF(S72&gt;=2.7,"Media",IF(S72&gt;=2,"Baja","Muy baja"))))</x:f>
        <x:v>Alta</x:v>
      </x:c>
      <x:c r="U72" s="52" t="str">
        <x:v>Datos de eventos, tendencias y mapas de conflicto</x:v>
      </x:c>
      <x:c r="V72" s="52" t="str">
        <x:v>Moderada</x:v>
      </x:c>
      <x:c r="W72" s="52" t="str">
        <x:v>ONU, prensa local y otras bases de datos</x:v>
      </x:c>
      <x:c r="X72" s="52" t="str">
        <x:v>Nuevo recomendado</x:v>
      </x:c>
      <x:c r="Y72" s="52" t="str"/>
      <x:c r="Z72" s="80" t="str">
        <x:v>https://acleddata.com/</x:v>
      </x:c>
      <x:c r="AA72" s="64" t="n">
        <x:v>46219</x:v>
      </x:c>
    </x:row>
    <x:row r="73">
      <x:c r="A73" s="60" t="n">
        <x:v>69</x:v>
      </x:c>
      <x:c r="B73" s="72" t="str">
        <x:v>Daily Maverick</x:v>
      </x:c>
      <x:c r="C73" s="76" t="str">
        <x:v>https://www.dailymaverick.co.za/</x:v>
      </x:c>
      <x:c r="D73" s="52" t="str">
        <x:v>Sudáfrica</x:v>
      </x:c>
      <x:c r="E73" s="52" t="str">
        <x:v>África Austral</x:v>
      </x:c>
      <x:c r="F73" s="52" t="str">
        <x:v>Inglés</x:v>
      </x:c>
      <x:c r="G73" s="52" t="str">
        <x:v>Medio independiente</x:v>
      </x:c>
      <x:c r="H73" s="52" t="str">
        <x:v>Noticias, investigación y opinión</x:v>
      </x:c>
      <x:c r="I73" s="52" t="str">
        <x:v>Privado/independiente</x:v>
      </x:c>
      <x:c r="J73" s="52" t="str">
        <x:v>Independiente</x:v>
      </x:c>
      <x:c r="K73" s="52" t="str">
        <x:v>Liberal / reformista</x:v>
      </x:c>
      <x:c r="L73" s="52" t="str">
        <x:v>Sudafricana / africana</x:v>
      </x:c>
      <x:c r="M73" s="60" t="n">
        <x:v>4</x:v>
      </x:c>
      <x:c r="N73" s="60" t="n">
        <x:v>4</x:v>
      </x:c>
      <x:c r="O73" s="60" t="n">
        <x:v>4</x:v>
      </x:c>
      <x:c r="P73" s="60" t="n">
        <x:v>4</x:v>
      </x:c>
      <x:c r="Q73" s="60" t="n">
        <x:v>4</x:v>
      </x:c>
      <x:c r="R73" s="60" t="n">
        <x:v>4</x:v>
      </x:c>
      <x:c r="S73" s="68" t="n">
        <x:f>ROUND(AVERAGE(M73:R73),1)</x:f>
        <x:v>4</x:v>
      </x:c>
      <x:c r="T73" s="60" t="str">
        <x:f>IF(S73&gt;=4.3,"Alta",IF(S73&gt;=3.5,"Media-alta",IF(S73&gt;=2.7,"Media",IF(S73&gt;=2,"Baja","Muy baja"))))</x:f>
        <x:v>Media-alta</x:v>
      </x:c>
      <x:c r="U73" s="52" t="str">
        <x:v>Sudáfrica y África subsahariana</x:v>
      </x:c>
      <x:c r="V73" s="52" t="str">
        <x:v>Moderada</x:v>
      </x:c>
      <x:c r="W73" s="52" t="str">
        <x:v>Reuters, AFP y prensa regional</x:v>
      </x:c>
      <x:c r="X73" s="52" t="str">
        <x:v>Nuevo recomendado</x:v>
      </x:c>
      <x:c r="Y73" s="52" t="str"/>
      <x:c r="Z73" s="80" t="str">
        <x:v>https://www.dailymaverick.co.za/</x:v>
      </x:c>
      <x:c r="AA73" s="64" t="n">
        <x:v>46219</x:v>
      </x:c>
    </x:row>
    <x:row r="74">
      <x:c r="A74" s="60" t="n">
        <x:v>70</x:v>
      </x:c>
      <x:c r="B74" s="72" t="str">
        <x:v>Meduza</x:v>
      </x:c>
      <x:c r="C74" s="76" t="str">
        <x:v>https://meduza.io/en</x:v>
      </x:c>
      <x:c r="D74" s="52" t="str">
        <x:v>Exilio; foco en Rusia</x:v>
      </x:c>
      <x:c r="E74" s="52" t="str">
        <x:v>Rusia/Europa Oriental</x:v>
      </x:c>
      <x:c r="F74" s="52" t="str">
        <x:v>Ruso/Inglés</x:v>
      </x:c>
      <x:c r="G74" s="52" t="str">
        <x:v>Medio independiente en exilio</x:v>
      </x:c>
      <x:c r="H74" s="52" t="str">
        <x:v>Noticias e investigación</x:v>
      </x:c>
      <x:c r="I74" s="52" t="str">
        <x:v>Independiente / donaciones</x:v>
      </x:c>
      <x:c r="J74" s="52" t="str">
        <x:v>Independiente</x:v>
      </x:c>
      <x:c r="K74" s="52" t="str">
        <x:v>Liberal / crítica del Kremlin</x:v>
      </x:c>
      <x:c r="L74" s="52" t="str">
        <x:v>Rusa independiente</x:v>
      </x:c>
      <x:c r="M74" s="60" t="n">
        <x:v>4</x:v>
      </x:c>
      <x:c r="N74" s="60" t="n">
        <x:v>4</x:v>
      </x:c>
      <x:c r="O74" s="60" t="n">
        <x:v>4</x:v>
      </x:c>
      <x:c r="P74" s="60" t="n">
        <x:v>4</x:v>
      </x:c>
      <x:c r="Q74" s="60" t="n">
        <x:v>4</x:v>
      </x:c>
      <x:c r="R74" s="60" t="n">
        <x:v>4</x:v>
      </x:c>
      <x:c r="S74" s="68" t="n">
        <x:f>ROUND(AVERAGE(M74:R74),1)</x:f>
        <x:v>4</x:v>
      </x:c>
      <x:c r="T74" s="60" t="str">
        <x:f>IF(S74&gt;=4.3,"Alta",IF(S74&gt;=3.5,"Media-alta",IF(S74&gt;=2.7,"Media",IF(S74&gt;=2,"Baja","Muy baja"))))</x:f>
        <x:v>Media-alta</x:v>
      </x:c>
      <x:c r="U74" s="52" t="str">
        <x:v>Rusia, sociedad y política interna</x:v>
      </x:c>
      <x:c r="V74" s="52" t="str">
        <x:v>Moderada-alta</x:v>
      </x:c>
      <x:c r="W74" s="52" t="str">
        <x:v>Reuters, Novaya Gazeta Europe y documentos</x:v>
      </x:c>
      <x:c r="X74" s="52" t="str">
        <x:v>Nuevo recomendado</x:v>
      </x:c>
      <x:c r="Y74" s="52" t="str"/>
      <x:c r="Z74" s="80" t="str">
        <x:v>https://meduza.io/en</x:v>
      </x:c>
      <x:c r="AA74" s="64" t="n">
        <x:v>46219</x:v>
      </x:c>
    </x:row>
    <x:row r="75">
      <x:c r="A75" s="60" t="n">
        <x:v>71</x:v>
      </x:c>
      <x:c r="B75" s="72" t="str">
        <x:v>Novaya Gazeta Europe</x:v>
      </x:c>
      <x:c r="C75" s="76" t="str">
        <x:v>https://novayagazeta.eu/</x:v>
      </x:c>
      <x:c r="D75" s="52" t="str">
        <x:v>Exilio europeo; foco en Rusia</x:v>
      </x:c>
      <x:c r="E75" s="52" t="str">
        <x:v>Rusia/Europa Oriental</x:v>
      </x:c>
      <x:c r="F75" s="52" t="str">
        <x:v>Ruso/Inglés</x:v>
      </x:c>
      <x:c r="G75" s="52" t="str">
        <x:v>Medio independiente en exilio</x:v>
      </x:c>
      <x:c r="H75" s="52" t="str">
        <x:v>Investigación y noticias</x:v>
      </x:c>
      <x:c r="I75" s="52" t="str">
        <x:v>Independiente</x:v>
      </x:c>
      <x:c r="J75" s="52" t="str">
        <x:v>Independiente</x:v>
      </x:c>
      <x:c r="K75" s="52" t="str">
        <x:v>Liberal / derechos humanos</x:v>
      </x:c>
      <x:c r="L75" s="52" t="str">
        <x:v>Rusa independiente</x:v>
      </x:c>
      <x:c r="M75" s="60" t="n">
        <x:v>4</x:v>
      </x:c>
      <x:c r="N75" s="60" t="n">
        <x:v>4</x:v>
      </x:c>
      <x:c r="O75" s="60" t="n">
        <x:v>4</x:v>
      </x:c>
      <x:c r="P75" s="60" t="n">
        <x:v>4</x:v>
      </x:c>
      <x:c r="Q75" s="60" t="n">
        <x:v>4</x:v>
      </x:c>
      <x:c r="R75" s="60" t="n">
        <x:v>4</x:v>
      </x:c>
      <x:c r="S75" s="68" t="n">
        <x:f>ROUND(AVERAGE(M75:R75),1)</x:f>
        <x:v>4</x:v>
      </x:c>
      <x:c r="T75" s="60" t="str">
        <x:f>IF(S75&gt;=4.3,"Alta",IF(S75&gt;=3.5,"Media-alta",IF(S75&gt;=2.7,"Media",IF(S75&gt;=2,"Baja","Muy baja"))))</x:f>
        <x:v>Media-alta</x:v>
      </x:c>
      <x:c r="U75" s="52" t="str">
        <x:v>Investigación sobre Rusia y derechos humanos</x:v>
      </x:c>
      <x:c r="V75" s="52" t="str">
        <x:v>Moderada-alta</x:v>
      </x:c>
      <x:c r="W75" s="52" t="str">
        <x:v>Reuters, Meduza y documentos primarios</x:v>
      </x:c>
      <x:c r="X75" s="52" t="str">
        <x:v>Nuevo recomendado</x:v>
      </x:c>
      <x:c r="Y75" s="52" t="str"/>
      <x:c r="Z75" s="80" t="str">
        <x:v>https://novayagazeta.eu/</x:v>
      </x:c>
      <x:c r="AA75" s="64" t="n">
        <x:v>46219</x:v>
      </x:c>
    </x:row>
    <x:row r="76">
      <x:c r="A76" s="60" t="n">
        <x:v>72</x:v>
      </x:c>
      <x:c r="B76" s="72" t="str">
        <x:v>The Kyiv Independent</x:v>
      </x:c>
      <x:c r="C76" s="76" t="str">
        <x:v>https://kyivindependent.com/</x:v>
      </x:c>
      <x:c r="D76" s="52" t="str">
        <x:v>Ucrania</x:v>
      </x:c>
      <x:c r="E76" s="52" t="str">
        <x:v>Europa Oriental</x:v>
      </x:c>
      <x:c r="F76" s="52" t="str">
        <x:v>Inglés</x:v>
      </x:c>
      <x:c r="G76" s="52" t="str">
        <x:v>Medio independiente</x:v>
      </x:c>
      <x:c r="H76" s="52" t="str">
        <x:v>Noticias e investigación</x:v>
      </x:c>
      <x:c r="I76" s="52" t="str">
        <x:v>Independiente / membresías y donaciones</x:v>
      </x:c>
      <x:c r="J76" s="52" t="str">
        <x:v>Independiente</x:v>
      </x:c>
      <x:c r="K76" s="52" t="str">
        <x:v>Pro-ucraniano</x:v>
      </x:c>
      <x:c r="L76" s="52" t="str">
        <x:v>Ucraniana</x:v>
      </x:c>
      <x:c r="M76" s="60" t="n">
        <x:v>4</x:v>
      </x:c>
      <x:c r="N76" s="60" t="n">
        <x:v>4</x:v>
      </x:c>
      <x:c r="O76" s="60" t="n">
        <x:v>4</x:v>
      </x:c>
      <x:c r="P76" s="60" t="n">
        <x:v>4</x:v>
      </x:c>
      <x:c r="Q76" s="60" t="n">
        <x:v>4</x:v>
      </x:c>
      <x:c r="R76" s="60" t="n">
        <x:v>4</x:v>
      </x:c>
      <x:c r="S76" s="68" t="n">
        <x:f>ROUND(AVERAGE(M76:R76),1)</x:f>
        <x:v>4</x:v>
      </x:c>
      <x:c r="T76" s="60" t="str">
        <x:f>IF(S76&gt;=4.3,"Alta",IF(S76&gt;=3.5,"Media-alta",IF(S76&gt;=2.7,"Media",IF(S76&gt;=2,"Baja","Muy baja"))))</x:f>
        <x:v>Media-alta</x:v>
      </x:c>
      <x:c r="U76" s="52" t="str">
        <x:v>Ucrania y guerra ruso-ucraniana</x:v>
      </x:c>
      <x:c r="V76" s="52" t="str">
        <x:v>Alta en afirmaciones operativas</x:v>
      </x:c>
      <x:c r="W76" s="52" t="str">
        <x:v>Reuters/AP, ONU, OSINT y fuentes rusas independientes</x:v>
      </x:c>
      <x:c r="X76" s="52" t="str">
        <x:v>Nuevo recomendado</x:v>
      </x:c>
      <x:c r="Y76" s="52" t="str"/>
      <x:c r="Z76" s="80" t="str">
        <x:v>https://kyivindependent.com/</x:v>
      </x:c>
      <x:c r="AA76" s="64" t="n">
        <x:v>46219</x:v>
      </x:c>
    </x:row>
    <x:row r="77">
      <x:c r="A77" s="60" t="n">
        <x:v>73</x:v>
      </x:c>
      <x:c r="B77" s="72" t="str">
        <x:v>Press Gazette</x:v>
      </x:c>
      <x:c r="C77" s="76" t="str">
        <x:v>https://pressgazette.co.uk/</x:v>
      </x:c>
      <x:c r="D77" s="52" t="str">
        <x:v>Reino Unido</x:v>
      </x:c>
      <x:c r="E77" s="52" t="str">
        <x:v>Occidente</x:v>
      </x:c>
      <x:c r="F77" s="52" t="str">
        <x:v>Inglés</x:v>
      </x:c>
      <x:c r="G77" s="52" t="str">
        <x:v>Publicación profesional</x:v>
      </x:c>
      <x:c r="H77" s="52" t="str">
        <x:v>Industria periodística y medios</x:v>
      </x:c>
      <x:c r="I77" s="52" t="str">
        <x:v>Privado comercial</x:v>
      </x:c>
      <x:c r="J77" s="52" t="str">
        <x:v>Privado</x:v>
      </x:c>
      <x:c r="K77" s="52" t="str">
        <x:v>Sectorial</x:v>
      </x:c>
      <x:c r="L77" s="52" t="str">
        <x:v>Industria mediática británica</x:v>
      </x:c>
      <x:c r="M77" s="60" t="n">
        <x:v>4</x:v>
      </x:c>
      <x:c r="N77" s="60" t="n">
        <x:v>4</x:v>
      </x:c>
      <x:c r="O77" s="60" t="n">
        <x:v>4</x:v>
      </x:c>
      <x:c r="P77" s="60" t="n">
        <x:v>4</x:v>
      </x:c>
      <x:c r="Q77" s="60" t="n">
        <x:v>4</x:v>
      </x:c>
      <x:c r="R77" s="60" t="n">
        <x:v>5</x:v>
      </x:c>
      <x:c r="S77" s="68" t="n">
        <x:f>ROUND(AVERAGE(M77:R77),1)</x:f>
        <x:v>4.2</x:v>
      </x:c>
      <x:c r="T77" s="60" t="str">
        <x:f>IF(S77&gt;=4.3,"Alta",IF(S77&gt;=3.5,"Media-alta",IF(S77&gt;=2.7,"Media",IF(S77&gt;=2,"Baja","Muy baja"))))</x:f>
        <x:v>Media-alta</x:v>
      </x:c>
      <x:c r="U77" s="52" t="str">
        <x:v>Propiedad de medios, tendencias y libertad de prensa</x:v>
      </x:c>
      <x:c r="V77" s="52" t="str">
        <x:v>Moderada</x:v>
      </x:c>
      <x:c r="W77" s="52" t="str">
        <x:v>Documentos corporativos y reguladores</x:v>
      </x:c>
      <x:c r="X77" s="52" t="str">
        <x:v>Secundario</x:v>
      </x:c>
      <x:c r="Y77" s="52" t="str">
        <x:v>No es fuente directa para hechos geopolíticos.</x:v>
      </x:c>
      <x:c r="Z77" s="80" t="str">
        <x:v>https://pressgazette.co.uk/</x:v>
      </x:c>
      <x:c r="AA77" s="64" t="n">
        <x:v>46219</x:v>
      </x:c>
    </x:row>
    <x:row r="78">
      <x:c r="A78" s="61" t="n">
        <x:v>74</x:v>
      </x:c>
      <x:c r="B78" s="73" t="str">
        <x:v>Shakuf — שקוף</x:v>
      </x:c>
      <x:c r="C78" s="77" t="str">
        <x:v>https://shakuf.co.il/</x:v>
      </x:c>
      <x:c r="D78" s="53" t="str">
        <x:v>Israel</x:v>
      </x:c>
      <x:c r="E78" s="53" t="str">
        <x:v>Medio Oriente</x:v>
      </x:c>
      <x:c r="F78" s="53" t="str">
        <x:v>Hebreo; páginas informativas en inglés y árabe</x:v>
      </x:c>
      <x:c r="G78" s="53" t="str">
        <x:v>Medio independiente / watchdog</x:v>
      </x:c>
      <x:c r="H78" s="53" t="str">
        <x:v>Periodismo de investigación, transparencia y fiscalización del poder</x:v>
      </x:c>
      <x:c r="I78" s="53" t="str">
        <x:v>Financiación directa del público; sin publicidad ni financiación gubernamental declarada</x:v>
      </x:c>
      <x:c r="J78" s="53" t="str">
        <x:v>Propiedad pública-comunitaria / independiente</x:v>
      </x:c>
      <x:c r="K78" s="53" t="str">
        <x:v>No partidista declarado; enfoque de transparencia</x:v>
      </x:c>
      <x:c r="L78" s="53" t="str">
        <x:v>Israelí / democracia, rendición de cuentas y anticorrupción</x:v>
      </x:c>
      <x:c r="M78" s="61" t="n">
        <x:v>4</x:v>
      </x:c>
      <x:c r="N78" s="61" t="n">
        <x:v>5</x:v>
      </x:c>
      <x:c r="O78" s="61" t="n">
        <x:v>5</x:v>
      </x:c>
      <x:c r="P78" s="61" t="n">
        <x:v>4</x:v>
      </x:c>
      <x:c r="Q78" s="61" t="n">
        <x:v>4</x:v>
      </x:c>
      <x:c r="R78" s="61" t="n">
        <x:v>5</x:v>
      </x:c>
      <x:c r="S78" s="69" t="n">
        <x:f>ROUND(AVERAGE(M78:R78),1)</x:f>
        <x:v>4.5</x:v>
      </x:c>
      <x:c r="T78" s="61" t="str">
        <x:f>IF(S78&gt;=4.3,"Alta",IF(S78&gt;=3.5,"Media-alta",IF(S78&gt;=2.7,"Media",IF(S78&gt;=2,"Baja","Muy baja"))))</x:f>
        <x:v>Alta</x:v>
      </x:c>
      <x:c r="U78" s="53" t="str">
        <x:v>Investigación sobre corrupción, toma de decisiones, lobbies, medioambiente y economía en Israel</x:v>
      </x:c>
      <x:c r="V78" s="53" t="str">
        <x:v>Moderada</x:v>
      </x:c>
      <x:c r="W78" s="53" t="str">
        <x:v>Documentos originales, Kan, The Seventh Eye, Ha-Makom y otras fuentes israelíes</x:v>
      </x:c>
      <x:c r="X78" s="53" t="str">
        <x:v>Activo</x:v>
      </x:c>
      <x:c r="Y78" s="53" t="str">
        <x:v>Corregido el dominio. Shakuf declara estar financiado íntegramente por el público, sin anuncios, magnates, fundaciones ni financiación gubernamental; debe evaluarse como medio de investigación y watchdog, no como empresa comercial.</x:v>
      </x:c>
      <x:c r="Z78" s="81" t="str">
        <x:v>https://shakuf.co.il/english</x:v>
      </x:c>
      <x:c r="AA78" s="65" t="n">
        <x:v>46219</x:v>
      </x:c>
    </x:row>
    <x:row r="79">
      <x:c r="A79" s="309" t="n">
        <x:v>75</x:v>
      </x:c>
      <x:c r="B79" s="312" t="str">
        <x:v>African Arguments</x:v>
      </x:c>
      <x:c r="C79" s="313" t="str">
        <x:v>https://africanarguments.org/</x:v>
      </x:c>
      <x:c r="D79" s="308" t="str">
        <x:v>Plataforma pan-africana alojada por Royal African Society e International Africa Institute</x:v>
      </x:c>
      <x:c r="E79" s="308" t="str">
        <x:v>África - Pancontinental</x:v>
      </x:c>
      <x:c r="F79" s="308" t="str">
        <x:v>Inglés</x:v>
      </x:c>
      <x:c r="G79" s="308" t="str">
        <x:v>Plataforma de análisis</x:v>
      </x:c>
      <x:c r="H79" s="308" t="str">
        <x:v>Análisis, reportajes, investigaciones y debate</x:v>
      </x:c>
      <x:c r="I79" s="308" t="str">
        <x:v>Organización sin fines de lucro; financiación filantrópica declarada</x:v>
      </x:c>
      <x:c r="J79" s="308" t="str">
        <x:v>ONG / editorialmente independiente</x:v>
      </x:c>
      <x:c r="K79" s="308" t="str">
        <x:v>Plural; énfasis en voces africanas</x:v>
      </x:c>
      <x:c r="L79" s="308" t="str">
        <x:v>Pan-africana / académica y periodística</x:v>
      </x:c>
      <x:c r="M79" s="309" t="n">
        <x:v>4</x:v>
      </x:c>
      <x:c r="N79" s="309" t="n">
        <x:v>4</x:v>
      </x:c>
      <x:c r="O79" s="309" t="n">
        <x:v>5</x:v>
      </x:c>
      <x:c r="P79" s="309" t="n">
        <x:v>4</x:v>
      </x:c>
      <x:c r="Q79" s="309" t="n">
        <x:v>4</x:v>
      </x:c>
      <x:c r="R79" s="309" t="n">
        <x:v>4</x:v>
      </x:c>
      <x:c r="S79" s="311" t="n">
        <x:f>ROUND(AVERAGE(M79:R79),1)</x:f>
        <x:v>4.2</x:v>
      </x:c>
      <x:c r="T79" s="309" t="str">
        <x:f>IF(S79&gt;=4.3,"Alta",IF(S79&gt;=3.5,"Media-alta",IF(S79&gt;=2.7,"Media",IF(S79&gt;=2,"Baja","Muy baja"))))</x:f>
        <x:v>Media-alta</x:v>
      </x:c>
      <x:c r="U79" s="308" t="str">
        <x:v>Análisis profundo, debates y perspectivas africanas</x:v>
      </x:c>
      <x:c r="V79" s="308" t="str">
        <x:v>Moderada</x:v>
      </x:c>
      <x:c r="W79" s="308" t="str">
        <x:v>Datos primarios, prensa local y autores con enfoques distintos</x:v>
      </x:c>
      <x:c r="X79" s="308" t="str">
        <x:v>Nuevo recomendado</x:v>
      </x:c>
      <x:c r="Y79" s="308" t="str">
        <x:v>Prioriza autores africanos y declara independencia editorial respecto de las instituciones anfitrionas.</x:v>
      </x:c>
      <x:c r="Z79" s="314" t="str">
        <x:v>https://africanarguments.org/about-us-2026/</x:v>
      </x:c>
      <x:c r="AA79" s="310" t="n">
        <x:v>46219</x:v>
      </x:c>
    </x:row>
    <x:row r="80">
      <x:c r="A80" s="309" t="n">
        <x:v>76</x:v>
      </x:c>
      <x:c r="B80" s="312" t="str">
        <x:v>Africa Confidential</x:v>
      </x:c>
      <x:c r="C80" s="313" t="str">
        <x:v>https://www.africa-confidential.com/</x:v>
      </x:c>
      <x:c r="D80" s="308" t="str">
        <x:v>Reino Unido; cobertura especializada de todo el continente</x:v>
      </x:c>
      <x:c r="E80" s="308" t="str">
        <x:v>África - Pancontinental</x:v>
      </x:c>
      <x:c r="F80" s="308" t="str">
        <x:v>Inglés</x:v>
      </x:c>
      <x:c r="G80" s="308" t="str">
        <x:v>Boletín especializado</x:v>
      </x:c>
      <x:c r="H80" s="308" t="str">
        <x:v>Análisis político, económico y de seguridad; información de fuentes internas</x:v>
      </x:c>
      <x:c r="I80" s="308" t="str">
        <x:v>Suscripción comercial</x:v>
      </x:c>
      <x:c r="J80" s="308" t="str">
        <x:v>Privado</x:v>
      </x:c>
      <x:c r="K80" s="308" t="str">
        <x:v>Pragmático / élites y poder</x:v>
      </x:c>
      <x:c r="L80" s="308" t="str">
        <x:v>Pan-africana desde una publicación especializada británica</x:v>
      </x:c>
      <x:c r="M80" s="309" t="n">
        <x:v>4</x:v>
      </x:c>
      <x:c r="N80" s="309" t="n">
        <x:v>4</x:v>
      </x:c>
      <x:c r="O80" s="309" t="n">
        <x:v>4</x:v>
      </x:c>
      <x:c r="P80" s="309" t="n">
        <x:v>4</x:v>
      </x:c>
      <x:c r="Q80" s="309" t="n">
        <x:v>3</x:v>
      </x:c>
      <x:c r="R80" s="309" t="n">
        <x:v>4</x:v>
      </x:c>
      <x:c r="S80" s="311" t="n">
        <x:f>ROUND(AVERAGE(M80:R80),1)</x:f>
        <x:v>3.8</x:v>
      </x:c>
      <x:c r="T80" s="309" t="str">
        <x:f>IF(S80&gt;=4.3,"Alta",IF(S80&gt;=3.5,"Media-alta",IF(S80&gt;=2.7,"Media",IF(S80&gt;=2,"Baja","Muy baja"))))</x:f>
        <x:v>Media-alta</x:v>
      </x:c>
      <x:c r="U80" s="308" t="str">
        <x:v>Análisis de élites, redes de poder y señales tempranas</x:v>
      </x:c>
      <x:c r="V80" s="308" t="str">
        <x:v>Alta para afirmaciones basadas en fuentes anónimas</x:v>
      </x:c>
      <x:c r="W80" s="308" t="str">
        <x:v>Documentos, prensa local, agencias y fuentes con posiciones contrapuestas</x:v>
      </x:c>
      <x:c r="X80" s="308" t="str">
        <x:v>Nuevo recomendado</x:v>
      </x:c>
      <x:c r="Y80" s="308" t="str">
        <x:v>Muy útil para hipótesis y contexto; las exclusivas de fuentes internas requieren confirmación adicional.</x:v>
      </x:c>
      <x:c r="Z80" s="314" t="str">
        <x:v>https://www.africa-confidential.com/about-africa-confidential</x:v>
      </x:c>
      <x:c r="AA80" s="310" t="n">
        <x:v>46219</x:v>
      </x:c>
    </x:row>
    <x:row r="81">
      <x:c r="A81" s="309" t="n">
        <x:v>77</x:v>
      </x:c>
      <x:c r="B81" s="312" t="str">
        <x:v>ISS Africa</x:v>
      </x:c>
      <x:c r="C81" s="313" t="str">
        <x:v>https://issafrica.org/</x:v>
      </x:c>
      <x:c r="D81" s="308" t="str">
        <x:v>Sede en Pretoria; oficinas regionales en Nairobi, Addis Ababa y Dakar</x:v>
      </x:c>
      <x:c r="E81" s="308" t="str">
        <x:v>África - Pancontinental</x:v>
      </x:c>
      <x:c r="F81" s="308" t="str">
        <x:v>Inglés/Francés</x:v>
      </x:c>
      <x:c r="G81" s="308" t="str">
        <x:v>Think tank</x:v>
      </x:c>
      <x:c r="H81" s="308" t="str">
        <x:v>Seguridad, gobernanza, crimen, paz y análisis de políticas</x:v>
      </x:c>
      <x:c r="I81" s="308" t="str">
        <x:v>Organización sin fines de lucro; donantes y socios institucionales</x:v>
      </x:c>
      <x:c r="J81" s="308" t="str">
        <x:v>ONG / think tank</x:v>
      </x:c>
      <x:c r="K81" s="308" t="str">
        <x:v>Centrista / seguridad humana</x:v>
      </x:c>
      <x:c r="L81" s="308" t="str">
        <x:v>Pan-africana / políticas públicas</x:v>
      </x:c>
      <x:c r="M81" s="309" t="n">
        <x:v>5</x:v>
      </x:c>
      <x:c r="N81" s="309" t="n">
        <x:v>5</x:v>
      </x:c>
      <x:c r="O81" s="309" t="n">
        <x:v>5</x:v>
      </x:c>
      <x:c r="P81" s="309" t="n">
        <x:v>5</x:v>
      </x:c>
      <x:c r="Q81" s="309" t="n">
        <x:v>4</x:v>
      </x:c>
      <x:c r="R81" s="309" t="n">
        <x:v>5</x:v>
      </x:c>
      <x:c r="S81" s="311" t="n">
        <x:f>ROUND(AVERAGE(M81:R81),1)</x:f>
        <x:v>4.8</x:v>
      </x:c>
      <x:c r="T81" s="309" t="str">
        <x:f>IF(S81&gt;=4.3,"Alta",IF(S81&gt;=3.5,"Media-alta",IF(S81&gt;=2.7,"Media",IF(S81&gt;=2,"Baja","Muy baja"))))</x:f>
        <x:v>Alta</x:v>
      </x:c>
      <x:c r="U81" s="308" t="str">
        <x:v>Seguridad, gobernanza, crimen organizado y Unión Africana</x:v>
      </x:c>
      <x:c r="V81" s="308" t="str">
        <x:v>Moderada</x:v>
      </x:c>
      <x:c r="W81" s="308" t="str">
        <x:v>Datos oficiales, ACLED, ONU y análisis nacionales</x:v>
      </x:c>
      <x:c r="X81" s="308" t="str">
        <x:v>Nuevo recomendado</x:v>
      </x:c>
      <x:c r="Y81" s="308" t="str">
        <x:v>Aporta análisis producido desde oficinas africanas y orientado a decisiones de política pública.</x:v>
      </x:c>
      <x:c r="Z81" s="314" t="str">
        <x:v>https://issafrica.org/about-us</x:v>
      </x:c>
      <x:c r="AA81" s="310" t="n">
        <x:v>46219</x:v>
      </x:c>
    </x:row>
    <x:row r="82">
      <x:c r="A82" s="309" t="n">
        <x:v>78</x:v>
      </x:c>
      <x:c r="B82" s="312" t="str">
        <x:v>Afrobarometer</x:v>
      </x:c>
      <x:c r="C82" s="313" t="str">
        <x:v>https://www.afrobarometer.org/</x:v>
      </x:c>
      <x:c r="D82" s="308" t="str">
        <x:v>Red pan-africana; sede institucional en Accra</x:v>
      </x:c>
      <x:c r="E82" s="308" t="str">
        <x:v>África - Pancontinental</x:v>
      </x:c>
      <x:c r="F82" s="308" t="str">
        <x:v>Inglés/Francés/Portugués y lenguas nacionales</x:v>
      </x:c>
      <x:c r="G82" s="308" t="str">
        <x:v>Red de investigación</x:v>
      </x:c>
      <x:c r="H82" s="308" t="str">
        <x:v>Encuestas de opinión pública y datos comparativos</x:v>
      </x:c>
      <x:c r="I82" s="308" t="str">
        <x:v>Red independiente de investigación con financiación institucional</x:v>
      </x:c>
      <x:c r="J82" s="308" t="str">
        <x:v>Investigación no partidista</x:v>
      </x:c>
      <x:c r="K82" s="308" t="str">
        <x:v>No partidista</x:v>
      </x:c>
      <x:c r="L82" s="308" t="str">
        <x:v>Voz ciudadana pan-africana</x:v>
      </x:c>
      <x:c r="M82" s="309" t="n">
        <x:v>5</x:v>
      </x:c>
      <x:c r="N82" s="309" t="n">
        <x:v>5</x:v>
      </x:c>
      <x:c r="O82" s="309" t="n">
        <x:v>5</x:v>
      </x:c>
      <x:c r="P82" s="309" t="n">
        <x:v>5</x:v>
      </x:c>
      <x:c r="Q82" s="309" t="n">
        <x:v>4</x:v>
      </x:c>
      <x:c r="R82" s="309" t="n">
        <x:v>5</x:v>
      </x:c>
      <x:c r="S82" s="311" t="n">
        <x:f>ROUND(AVERAGE(M82:R82),1)</x:f>
        <x:v>4.8</x:v>
      </x:c>
      <x:c r="T82" s="309" t="str">
        <x:f>IF(S82&gt;=4.3,"Alta",IF(S82&gt;=3.5,"Media-alta",IF(S82&gt;=2.7,"Media",IF(S82&gt;=2,"Baja","Muy baja"))))</x:f>
        <x:v>Alta</x:v>
      </x:c>
      <x:c r="U82" s="308" t="str">
        <x:v>Opinión pública, democracia, gobernanza, economía y sociedad</x:v>
      </x:c>
      <x:c r="V82" s="308" t="str">
        <x:v>Baja a moderada</x:v>
      </x:c>
      <x:c r="W82" s="308" t="str">
        <x:v>Metodología, cuestionarios, series históricas y estadísticas nacionales</x:v>
      </x:c>
      <x:c r="X82" s="308" t="str">
        <x:v>Nuevo recomendado</x:v>
      </x:c>
      <x:c r="Y82" s="308" t="str">
        <x:v>Fuente prioritaria para medir actitudes ciudadanas; revisar siempre muestra, fecha y formulación de preguntas.</x:v>
      </x:c>
      <x:c r="Z82" s="314" t="str">
        <x:v>https://www.afrobarometer.org/about/</x:v>
      </x:c>
      <x:c r="AA82" s="310" t="n">
        <x:v>46219</x:v>
      </x:c>
    </x:row>
    <x:row r="83">
      <x:c r="A83" s="309" t="n">
        <x:v>79</x:v>
      </x:c>
      <x:c r="B83" s="312" t="str">
        <x:v>African Union (AU)</x:v>
      </x:c>
      <x:c r="C83" s="313" t="str">
        <x:v>https://au.int/</x:v>
      </x:c>
      <x:c r="D83" s="308" t="str">
        <x:v>Organización continental de 55 Estados miembros; Comisión con sede en Addis Ababa</x:v>
      </x:c>
      <x:c r="E83" s="308" t="str">
        <x:v>África - Pancontinental</x:v>
      </x:c>
      <x:c r="F83" s="308" t="str">
        <x:v>Multilingüe</x:v>
      </x:c>
      <x:c r="G83" s="308" t="str">
        <x:v>Organismo internacional</x:v>
      </x:c>
      <x:c r="H83" s="308" t="str">
        <x:v>Tratados, comunicados, decisiones, datos y posiciones oficiales</x:v>
      </x:c>
      <x:c r="I83" s="308" t="str">
        <x:v>Estados miembros</x:v>
      </x:c>
      <x:c r="J83" s="308" t="str">
        <x:v>Oficial / multilateral</x:v>
      </x:c>
      <x:c r="K83" s="308" t="str">
        <x:v>Institucional</x:v>
      </x:c>
      <x:c r="L83" s="308" t="str">
        <x:v>Continental / integración africana</x:v>
      </x:c>
      <x:c r="M83" s="309" t="n">
        <x:v>4</x:v>
      </x:c>
      <x:c r="N83" s="309" t="n">
        <x:v>2</x:v>
      </x:c>
      <x:c r="O83" s="309" t="n">
        <x:v>5</x:v>
      </x:c>
      <x:c r="P83" s="309" t="n">
        <x:v>4</x:v>
      </x:c>
      <x:c r="Q83" s="309" t="n">
        <x:v>4</x:v>
      </x:c>
      <x:c r="R83" s="309" t="n">
        <x:v>5</x:v>
      </x:c>
      <x:c r="S83" s="311" t="n">
        <x:f>ROUND(AVERAGE(M83:R83),1)</x:f>
        <x:v>4</x:v>
      </x:c>
      <x:c r="T83" s="309" t="str">
        <x:f>IF(S83&gt;=4.3,"Alta",IF(S83&gt;=3.5,"Media-alta",IF(S83&gt;=2.7,"Media",IF(S83&gt;=2,"Baja","Muy baja"))))</x:f>
        <x:v>Media-alta</x:v>
      </x:c>
      <x:c r="U83" s="308" t="str">
        <x:v>Fuente primaria para decisiones, tratados y posiciones de la Unión Africana</x:v>
      </x:c>
      <x:c r="V83" s="308" t="str">
        <x:v>Moderada; obligatoria para controversias políticas</x:v>
      </x:c>
      <x:c r="W83" s="308" t="str">
        <x:v>Estados miembros, prensa independiente, ONU e instituciones regionales</x:v>
      </x:c>
      <x:c r="X83" s="308" t="str">
        <x:v>Nuevo recomendado</x:v>
      </x:c>
      <x:c r="Y83" s="308" t="str">
        <x:v>Fuente oficial continental: competente para documentos y posiciones propias, no para verificación independiente.</x:v>
      </x:c>
      <x:c r="Z83" s="314" t="str">
        <x:v>https://au.int/en/overview</x:v>
      </x:c>
      <x:c r="AA83" s="310" t="n">
        <x:v>46219</x:v>
      </x:c>
    </x:row>
    <x:row r="84">
      <x:c r="A84" s="309" t="n">
        <x:v>80</x:v>
      </x:c>
      <x:c r="B84" s="312" t="str">
        <x:v>Inkyfada</x:v>
      </x:c>
      <x:c r="C84" s="313" t="str">
        <x:v>https://inkyfada.com/en/</x:v>
      </x:c>
      <x:c r="D84" s="308" t="str">
        <x:v>Túnez</x:v>
      </x:c>
      <x:c r="E84" s="308" t="str">
        <x:v>África del Norte</x:v>
      </x:c>
      <x:c r="F84" s="308" t="str">
        <x:v>Árabe/Francés/Inglés</x:v>
      </x:c>
      <x:c r="G84" s="308" t="str">
        <x:v>Medio independiente / investigación</x:v>
      </x:c>
      <x:c r="H84" s="308" t="str">
        <x:v>Investigación, datos, narrativas multimedia y explicadores</x:v>
      </x:c>
      <x:c r="I84" s="308" t="str">
        <x:v>Colectivo independiente sin fines de lucro; membresías y apoyos</x:v>
      </x:c>
      <x:c r="J84" s="308" t="str">
        <x:v>Independiente</x:v>
      </x:c>
      <x:c r="K84" s="308" t="str">
        <x:v>Progresista / derechos y transparencia</x:v>
      </x:c>
      <x:c r="L84" s="308" t="str">
        <x:v>Tunecina / magrebí</x:v>
      </x:c>
      <x:c r="M84" s="309" t="n">
        <x:v>4</x:v>
      </x:c>
      <x:c r="N84" s="309" t="n">
        <x:v>5</x:v>
      </x:c>
      <x:c r="O84" s="309" t="n">
        <x:v>5</x:v>
      </x:c>
      <x:c r="P84" s="309" t="n">
        <x:v>5</x:v>
      </x:c>
      <x:c r="Q84" s="309" t="n">
        <x:v>4</x:v>
      </x:c>
      <x:c r="R84" s="309" t="n">
        <x:v>5</x:v>
      </x:c>
      <x:c r="S84" s="311" t="n">
        <x:f>ROUND(AVERAGE(M84:R84),1)</x:f>
        <x:v>4.7</x:v>
      </x:c>
      <x:c r="T84" s="309" t="str">
        <x:f>IF(S84&gt;=4.3,"Alta",IF(S84&gt;=3.5,"Media-alta",IF(S84&gt;=2.7,"Media",IF(S84&gt;=2,"Baja","Muy baja"))))</x:f>
        <x:v>Alta</x:v>
      </x:c>
      <x:c r="U84" s="308" t="str">
        <x:v>Túnez, migración, corrupción, justicia y Magreb</x:v>
      </x:c>
      <x:c r="V84" s="308" t="str">
        <x:v>Moderada</x:v>
      </x:c>
      <x:c r="W84" s="308" t="str">
        <x:v>Documentos, medios magrebíes, agencias y fuentes oficiales</x:v>
      </x:c>
      <x:c r="X84" s="308" t="str">
        <x:v>Nuevo recomendado</x:v>
      </x:c>
      <x:c r="Y84" s="308" t="str">
        <x:v>Colectivo independiente fundado en Túnez con fuerte capacidad de investigación y periodismo de datos.</x:v>
      </x:c>
      <x:c r="Z84" s="314" t="str">
        <x:v>https://inkyfada.com/en/apropos/</x:v>
      </x:c>
      <x:c r="AA84" s="310" t="n">
        <x:v>46219</x:v>
      </x:c>
    </x:row>
    <x:row r="85">
      <x:c r="A85" s="309" t="n">
        <x:v>81</x:v>
      </x:c>
      <x:c r="B85" s="312" t="str">
        <x:v>Le Desk</x:v>
      </x:c>
      <x:c r="C85" s="313" t="str">
        <x:v>https://ledesk.ma/</x:v>
      </x:c>
      <x:c r="D85" s="308" t="str">
        <x:v>Marruecos</x:v>
      </x:c>
      <x:c r="E85" s="308" t="str">
        <x:v>África del Norte</x:v>
      </x:c>
      <x:c r="F85" s="308" t="str">
        <x:v>Francés</x:v>
      </x:c>
      <x:c r="G85" s="308" t="str">
        <x:v>Medio digital de investigación</x:v>
      </x:c>
      <x:c r="H85" s="308" t="str">
        <x:v>Noticias, investigación y análisis</x:v>
      </x:c>
      <x:c r="I85" s="308" t="str">
        <x:v>Suscripción comercial; Pulse Media</x:v>
      </x:c>
      <x:c r="J85" s="308" t="str">
        <x:v>Privado</x:v>
      </x:c>
      <x:c r="K85" s="308" t="str">
        <x:v>Liberal / crítico</x:v>
      </x:c>
      <x:c r="L85" s="308" t="str">
        <x:v>Marroquí / magrebí</x:v>
      </x:c>
      <x:c r="M85" s="309" t="n">
        <x:v>4</x:v>
      </x:c>
      <x:c r="N85" s="309" t="n">
        <x:v>4</x:v>
      </x:c>
      <x:c r="O85" s="309" t="n">
        <x:v>4</x:v>
      </x:c>
      <x:c r="P85" s="309" t="n">
        <x:v>4</x:v>
      </x:c>
      <x:c r="Q85" s="309" t="n">
        <x:v>4</x:v>
      </x:c>
      <x:c r="R85" s="309" t="n">
        <x:v>4</x:v>
      </x:c>
      <x:c r="S85" s="311" t="n">
        <x:f>ROUND(AVERAGE(M85:R85),1)</x:f>
        <x:v>4</x:v>
      </x:c>
      <x:c r="T85" s="309" t="str">
        <x:f>IF(S85&gt;=4.3,"Alta",IF(S85&gt;=3.5,"Media-alta",IF(S85&gt;=2.7,"Media",IF(S85&gt;=2,"Baja","Muy baja"))))</x:f>
        <x:v>Media-alta</x:v>
      </x:c>
      <x:c r="U85" s="308" t="str">
        <x:v>Marruecos, Magreb, diplomacia y redes económicas</x:v>
      </x:c>
      <x:c r="V85" s="308" t="str">
        <x:v>Moderada-alta</x:v>
      </x:c>
      <x:c r="W85" s="308" t="str">
        <x:v>Documentos, agencias, prensa marroquí y medios magrebíes</x:v>
      </x:c>
      <x:c r="X85" s="308" t="str">
        <x:v>Nuevo recomendado</x:v>
      </x:c>
      <x:c r="Y85" s="308" t="str">
        <x:v>Medio de pago con orientación investigativa; corroborar asuntos relacionados con la monarquía, seguridad o fuentes reservadas.</x:v>
      </x:c>
      <x:c r="Z85" s="314" t="str">
        <x:v>https://ledesk.ma/charte-editoriale/</x:v>
      </x:c>
      <x:c r="AA85" s="310" t="n">
        <x:v>46219</x:v>
      </x:c>
    </x:row>
    <x:row r="86">
      <x:c r="A86" s="309" t="n">
        <x:v>82</x:v>
      </x:c>
      <x:c r="B86" s="312" t="str">
        <x:v>Premium Times</x:v>
      </x:c>
      <x:c r="C86" s="313" t="str">
        <x:v>https://www.premiumtimesng.com/</x:v>
      </x:c>
      <x:c r="D86" s="308" t="str">
        <x:v>Nigeria; redacción principal en Abuja</x:v>
      </x:c>
      <x:c r="E86" s="308" t="str">
        <x:v>África Occidental</x:v>
      </x:c>
      <x:c r="F86" s="308" t="str">
        <x:v>Inglés</x:v>
      </x:c>
      <x:c r="G86" s="308" t="str">
        <x:v>Medio independiente / generalista</x:v>
      </x:c>
      <x:c r="H86" s="308" t="str">
        <x:v>Noticias, investigación, datos y rendición de cuentas</x:v>
      </x:c>
      <x:c r="I86" s="308" t="str">
        <x:v>Empresa periodística nigeriana; publicidad, membresías y proyectos</x:v>
      </x:c>
      <x:c r="J86" s="308" t="str">
        <x:v>Privado</x:v>
      </x:c>
      <x:c r="K86" s="308" t="str">
        <x:v>Reformista / buen gobierno</x:v>
      </x:c>
      <x:c r="L86" s="308" t="str">
        <x:v>Nigeriana / África Occidental</x:v>
      </x:c>
      <x:c r="M86" s="309" t="n">
        <x:v>4</x:v>
      </x:c>
      <x:c r="N86" s="309" t="n">
        <x:v>4</x:v>
      </x:c>
      <x:c r="O86" s="309" t="n">
        <x:v>4</x:v>
      </x:c>
      <x:c r="P86" s="309" t="n">
        <x:v>4</x:v>
      </x:c>
      <x:c r="Q86" s="309" t="n">
        <x:v>4</x:v>
      </x:c>
      <x:c r="R86" s="309" t="n">
        <x:v>4</x:v>
      </x:c>
      <x:c r="S86" s="311" t="n">
        <x:f>ROUND(AVERAGE(M86:R86),1)</x:f>
        <x:v>4</x:v>
      </x:c>
      <x:c r="T86" s="309" t="str">
        <x:f>IF(S86&gt;=4.3,"Alta",IF(S86&gt;=3.5,"Media-alta",IF(S86&gt;=2.7,"Media",IF(S86&gt;=2,"Baja","Muy baja"))))</x:f>
        <x:v>Media-alta</x:v>
      </x:c>
      <x:c r="U86" s="308" t="str">
        <x:v>Nigeria, democracia, corrupción, seguridad y economía</x:v>
      </x:c>
      <x:c r="V86" s="308" t="str">
        <x:v>Moderada</x:v>
      </x:c>
      <x:c r="W86" s="308" t="str">
        <x:v>Documentos, agencias y otros medios nigerianos</x:v>
      </x:c>
      <x:c r="X86" s="308" t="str">
        <x:v>Nuevo recomendado</x:v>
      </x:c>
      <x:c r="Y86" s="308" t="str">
        <x:v>Fuerte orientación al periodismo de interés público y proyectos de investigación colaborativa.</x:v>
      </x:c>
      <x:c r="Z86" s="314" t="str">
        <x:v>https://www.premiumtimesng.com/about</x:v>
      </x:c>
      <x:c r="AA86" s="310" t="n">
        <x:v>46219</x:v>
      </x:c>
    </x:row>
    <x:row r="87">
      <x:c r="A87" s="309" t="n">
        <x:v>83</x:v>
      </x:c>
      <x:c r="B87" s="312" t="str">
        <x:v>HumAngle</x:v>
      </x:c>
      <x:c r="C87" s="313" t="str">
        <x:v>https://humanglemedia.com/</x:v>
      </x:c>
      <x:c r="D87" s="308" t="str">
        <x:v>Nigeria; cobertura del Sahel y cuenca del lago Chad</x:v>
      </x:c>
      <x:c r="E87" s="308" t="str">
        <x:v>África Occidental / Sahel</x:v>
      </x:c>
      <x:c r="F87" s="308" t="str">
        <x:v>Inglés</x:v>
      </x:c>
      <x:c r="G87" s="308" t="str">
        <x:v>Medio especializado</x:v>
      </x:c>
      <x:c r="H87" s="308" t="str">
        <x:v>Conflictos, crisis humanitarias, derechos humanos y desarrollo</x:v>
      </x:c>
      <x:c r="I87" s="308" t="str">
        <x:v>Organización periodística especializada; donaciones y proyectos</x:v>
      </x:c>
      <x:c r="J87" s="308" t="str">
        <x:v>Independiente</x:v>
      </x:c>
      <x:c r="K87" s="308" t="str">
        <x:v>Humanitaria / seguridad humana</x:v>
      </x:c>
      <x:c r="L87" s="308" t="str">
        <x:v>África Occidental / Sahel</x:v>
      </x:c>
      <x:c r="M87" s="309" t="n">
        <x:v>4</x:v>
      </x:c>
      <x:c r="N87" s="309" t="n">
        <x:v>4</x:v>
      </x:c>
      <x:c r="O87" s="309" t="n">
        <x:v>4</x:v>
      </x:c>
      <x:c r="P87" s="309" t="n">
        <x:v>4</x:v>
      </x:c>
      <x:c r="Q87" s="309" t="n">
        <x:v>3</x:v>
      </x:c>
      <x:c r="R87" s="309" t="n">
        <x:v>4</x:v>
      </x:c>
      <x:c r="S87" s="311" t="n">
        <x:f>ROUND(AVERAGE(M87:R87),1)</x:f>
        <x:v>3.8</x:v>
      </x:c>
      <x:c r="T87" s="309" t="str">
        <x:f>IF(S87&gt;=4.3,"Alta",IF(S87&gt;=3.5,"Media-alta",IF(S87&gt;=2.7,"Media",IF(S87&gt;=2,"Baja","Muy baja"))))</x:f>
        <x:v>Media-alta</x:v>
      </x:c>
      <x:c r="U87" s="308" t="str">
        <x:v>Insurgencias, desplazamiento, violencia y comunidades subcubiertas</x:v>
      </x:c>
      <x:c r="V87" s="308" t="str">
        <x:v>Alta</x:v>
      </x:c>
      <x:c r="W87" s="308" t="str">
        <x:v>ACLED, ONU, agencias, autoridades locales y evidencia geolocalizada</x:v>
      </x:c>
      <x:c r="X87" s="308" t="str">
        <x:v>Nuevo recomendado</x:v>
      </x:c>
      <x:c r="Y87" s="308" t="str">
        <x:v>Especializado en conflictos y crisis humanitarias; distinguir testimonios, estimaciones y hechos verificados.</x:v>
      </x:c>
      <x:c r="Z87" s="314" t="str">
        <x:v>https://humanglemedia.com/about-us/</x:v>
      </x:c>
      <x:c r="AA87" s="310" t="n">
        <x:v>46219</x:v>
      </x:c>
    </x:row>
    <x:row r="88">
      <x:c r="A88" s="309" t="n">
        <x:v>84</x:v>
      </x:c>
      <x:c r="B88" s="312" t="str">
        <x:v>The EastAfrican</x:v>
      </x:c>
      <x:c r="C88" s="313" t="str">
        <x:v>https://www.theeastafrican.co.ke/</x:v>
      </x:c>
      <x:c r="D88" s="308" t="str">
        <x:v>Kenia; publicación regional de Nation Media Group</x:v>
      </x:c>
      <x:c r="E88" s="308" t="str">
        <x:v>África Oriental</x:v>
      </x:c>
      <x:c r="F88" s="308" t="str">
        <x:v>Inglés</x:v>
      </x:c>
      <x:c r="G88" s="308" t="str">
        <x:v>Medio regional</x:v>
      </x:c>
      <x:c r="H88" s="308" t="str">
        <x:v>Política, economía, diplomacia y Comunidad de África Oriental</x:v>
      </x:c>
      <x:c r="I88" s="308" t="str">
        <x:v>Nation Media Group</x:v>
      </x:c>
      <x:c r="J88" s="308" t="str">
        <x:v>Privado comercial</x:v>
      </x:c>
      <x:c r="K88" s="308" t="str">
        <x:v>Centro / regionalista</x:v>
      </x:c>
      <x:c r="L88" s="308" t="str">
        <x:v>África Oriental / integración EAC</x:v>
      </x:c>
      <x:c r="M88" s="309" t="n">
        <x:v>4</x:v>
      </x:c>
      <x:c r="N88" s="309" t="n">
        <x:v>4</x:v>
      </x:c>
      <x:c r="O88" s="309" t="n">
        <x:v>4</x:v>
      </x:c>
      <x:c r="P88" s="309" t="n">
        <x:v>4</x:v>
      </x:c>
      <x:c r="Q88" s="309" t="n">
        <x:v>4</x:v>
      </x:c>
      <x:c r="R88" s="309" t="n">
        <x:v>4</x:v>
      </x:c>
      <x:c r="S88" s="311" t="n">
        <x:f>ROUND(AVERAGE(M88:R88),1)</x:f>
        <x:v>4</x:v>
      </x:c>
      <x:c r="T88" s="309" t="str">
        <x:f>IF(S88&gt;=4.3,"Alta",IF(S88&gt;=3.5,"Media-alta",IF(S88&gt;=2.7,"Media",IF(S88&gt;=2,"Baja","Muy baja"))))</x:f>
        <x:v>Media-alta</x:v>
      </x:c>
      <x:c r="U88" s="308" t="str">
        <x:v>Política y geoeconomía de África Oriental</x:v>
      </x:c>
      <x:c r="V88" s="308" t="str">
        <x:v>Moderada</x:v>
      </x:c>
      <x:c r="W88" s="308" t="str">
        <x:v>Medios nacionales, agencias y documentos de la EAC</x:v>
      </x:c>
      <x:c r="X88" s="308" t="str">
        <x:v>Nuevo recomendado</x:v>
      </x:c>
      <x:c r="Y88" s="308" t="str">
        <x:v>Publicación regional con cobertura de Kenia, Tanzania, Uganda, Ruanda, Burundi y Sudán del Sur.</x:v>
      </x:c>
      <x:c r="Z88" s="314" t="str">
        <x:v>https://www.theeastafrican.co.ke/tea/author-profiles/the-eastafrican-1368402</x:v>
      </x:c>
      <x:c r="AA88" s="310" t="n">
        <x:v>46219</x:v>
      </x:c>
    </x:row>
    <x:row r="89">
      <x:c r="A89" s="309" t="n">
        <x:v>85</x:v>
      </x:c>
      <x:c r="B89" s="312" t="str">
        <x:v>The Elephant</x:v>
      </x:c>
      <x:c r="C89" s="313" t="str">
        <x:v>https://www.theelephant.info/</x:v>
      </x:c>
      <x:c r="D89" s="308" t="str">
        <x:v>Kenia; alcance pan-africano</x:v>
      </x:c>
      <x:c r="E89" s="308" t="str">
        <x:v>África Oriental / Pancontinental</x:v>
      </x:c>
      <x:c r="F89" s="308" t="str">
        <x:v>Inglés</x:v>
      </x:c>
      <x:c r="G89" s="308" t="str">
        <x:v>Plataforma de análisis</x:v>
      </x:c>
      <x:c r="H89" s="308" t="str">
        <x:v>Ensayo, opinión, investigación y debate</x:v>
      </x:c>
      <x:c r="I89" s="308" t="str">
        <x:v>Membresías, socios y financiación declarada</x:v>
      </x:c>
      <x:c r="J89" s="308" t="str">
        <x:v>Independiente</x:v>
      </x:c>
      <x:c r="K89" s="308" t="str">
        <x:v>Pan-africanista / progresista</x:v>
      </x:c>
      <x:c r="L89" s="308" t="str">
        <x:v>Kenia / pan-africana</x:v>
      </x:c>
      <x:c r="M89" s="309" t="n">
        <x:v>3</x:v>
      </x:c>
      <x:c r="N89" s="309" t="n">
        <x:v>4</x:v>
      </x:c>
      <x:c r="O89" s="309" t="n">
        <x:v>4</x:v>
      </x:c>
      <x:c r="P89" s="309" t="n">
        <x:v>4</x:v>
      </x:c>
      <x:c r="Q89" s="309" t="n">
        <x:v>3</x:v>
      </x:c>
      <x:c r="R89" s="309" t="n">
        <x:v>3</x:v>
      </x:c>
      <x:c r="S89" s="311" t="n">
        <x:f>ROUND(AVERAGE(M89:R89),1)</x:f>
        <x:v>3.5</x:v>
      </x:c>
      <x:c r="T89" s="309" t="str">
        <x:f>IF(S89&gt;=4.3,"Alta",IF(S89&gt;=3.5,"Media-alta",IF(S89&gt;=2.7,"Media",IF(S89&gt;=2,"Baja","Muy baja"))))</x:f>
        <x:v>Media-alta</x:v>
      </x:c>
      <x:c r="U89" s="308" t="str">
        <x:v>Interpretación política, sociedad civil y debate intelectual</x:v>
      </x:c>
      <x:c r="V89" s="308" t="str">
        <x:v>Alta</x:v>
      </x:c>
      <x:c r="W89" s="308" t="str">
        <x:v>Noticias factuales, documentos y perspectivas ideológicas distintas</x:v>
      </x:c>
      <x:c r="X89" s="308" t="str">
        <x:v>Nuevo recomendado</x:v>
      </x:c>
      <x:c r="Y89" s="308" t="str">
        <x:v>Aporta análisis valioso, pero una parte importante del contenido es opinión o ensayo y no debe tratarse como noticia.</x:v>
      </x:c>
      <x:c r="Z89" s="314" t="str">
        <x:v>https://www.theelephant.info/about/</x:v>
      </x:c>
      <x:c r="AA89" s="310" t="n">
        <x:v>46219</x:v>
      </x:c>
    </x:row>
    <x:row r="90">
      <x:c r="A90" s="309" t="n">
        <x:v>86</x:v>
      </x:c>
      <x:c r="B90" s="312" t="str">
        <x:v>Addis Standard</x:v>
      </x:c>
      <x:c r="C90" s="313" t="str">
        <x:v>https://addisstandard.com/</x:v>
      </x:c>
      <x:c r="D90" s="308" t="str">
        <x:v>Etiopía</x:v>
      </x:c>
      <x:c r="E90" s="308" t="str">
        <x:v>África Oriental / Cuerno de África</x:v>
      </x:c>
      <x:c r="F90" s="308" t="str">
        <x:v>Inglés/Afaan Oromoo/Amárico</x:v>
      </x:c>
      <x:c r="G90" s="308" t="str">
        <x:v>Medio independiente</x:v>
      </x:c>
      <x:c r="H90" s="308" t="str">
        <x:v>Noticias y contenido de interés público</x:v>
      </x:c>
      <x:c r="I90" s="308" t="str">
        <x:v>Publicación privada independiente</x:v>
      </x:c>
      <x:c r="J90" s="308" t="str">
        <x:v>Independiente</x:v>
      </x:c>
      <x:c r="K90" s="308" t="str">
        <x:v>Reformista / derechos civiles</x:v>
      </x:c>
      <x:c r="L90" s="308" t="str">
        <x:v>Etíope / Cuerno de África</x:v>
      </x:c>
      <x:c r="M90" s="309" t="n">
        <x:v>4</x:v>
      </x:c>
      <x:c r="N90" s="309" t="n">
        <x:v>4</x:v>
      </x:c>
      <x:c r="O90" s="309" t="n">
        <x:v>4</x:v>
      </x:c>
      <x:c r="P90" s="309" t="n">
        <x:v>4</x:v>
      </x:c>
      <x:c r="Q90" s="309" t="n">
        <x:v>3</x:v>
      </x:c>
      <x:c r="R90" s="309" t="n">
        <x:v>4</x:v>
      </x:c>
      <x:c r="S90" s="311" t="n">
        <x:f>ROUND(AVERAGE(M90:R90),1)</x:f>
        <x:v>3.8</x:v>
      </x:c>
      <x:c r="T90" s="309" t="str">
        <x:f>IF(S90&gt;=4.3,"Alta",IF(S90&gt;=3.5,"Media-alta",IF(S90&gt;=2.7,"Media",IF(S90&gt;=2,"Baja","Muy baja"))))</x:f>
        <x:v>Media-alta</x:v>
      </x:c>
      <x:c r="U90" s="308" t="str">
        <x:v>Etiopía, Unión Africana y Cuerno de África</x:v>
      </x:c>
      <x:c r="V90" s="308" t="str">
        <x:v>Alta en conflictos y política interna</x:v>
      </x:c>
      <x:c r="W90" s="308" t="str">
        <x:v>Reuters/AP, medios regionales, AU, ONU y fuentes oficiales</x:v>
      </x:c>
      <x:c r="X90" s="308" t="str">
        <x:v>Nuevo recomendado</x:v>
      </x:c>
      <x:c r="Y90" s="308" t="str">
        <x:v>Útil por acceso local y cobertura trilingüe; el entorno político etíope exige triangulación reforzada.</x:v>
      </x:c>
      <x:c r="Z90" s="314" t="str">
        <x:v>https://addisstandard.com/about-us/</x:v>
      </x:c>
      <x:c r="AA90" s="310" t="n">
        <x:v>46219</x:v>
      </x:c>
    </x:row>
    <x:row r="91">
      <x:c r="A91" s="309" t="n">
        <x:v>87</x:v>
      </x:c>
      <x:c r="B91" s="312" t="str">
        <x:v>Africa Uncensored</x:v>
      </x:c>
      <x:c r="C91" s="313" t="str">
        <x:v>https://africauncensored.online/</x:v>
      </x:c>
      <x:c r="D91" s="308" t="str">
        <x:v>Kenia; investigaciones de alcance continental</x:v>
      </x:c>
      <x:c r="E91" s="308" t="str">
        <x:v>África Oriental / Pancontinental</x:v>
      </x:c>
      <x:c r="F91" s="308" t="str">
        <x:v>Inglés/Producción audiovisual</x:v>
      </x:c>
      <x:c r="G91" s="308" t="str">
        <x:v>Medio de investigación</x:v>
      </x:c>
      <x:c r="H91" s="308" t="str">
        <x:v>Investigación audiovisual y periodismo de interés público</x:v>
      </x:c>
      <x:c r="I91" s="308" t="str">
        <x:v>Medio independiente</x:v>
      </x:c>
      <x:c r="J91" s="308" t="str">
        <x:v>Independiente</x:v>
      </x:c>
      <x:c r="K91" s="308" t="str">
        <x:v>Rendición de cuentas / interés público</x:v>
      </x:c>
      <x:c r="L91" s="308" t="str">
        <x:v>Kenia / pan-africana</x:v>
      </x:c>
      <x:c r="M91" s="309" t="n">
        <x:v>4</x:v>
      </x:c>
      <x:c r="N91" s="309" t="n">
        <x:v>5</x:v>
      </x:c>
      <x:c r="O91" s="309" t="n">
        <x:v>4</x:v>
      </x:c>
      <x:c r="P91" s="309" t="n">
        <x:v>5</x:v>
      </x:c>
      <x:c r="Q91" s="309" t="n">
        <x:v>4</x:v>
      </x:c>
      <x:c r="R91" s="309" t="n">
        <x:v>4</x:v>
      </x:c>
      <x:c r="S91" s="311" t="n">
        <x:f>ROUND(AVERAGE(M91:R91),1)</x:f>
        <x:v>4.3</x:v>
      </x:c>
      <x:c r="T91" s="309" t="str">
        <x:f>IF(S91&gt;=4.3,"Alta",IF(S91&gt;=3.5,"Media-alta",IF(S91&gt;=2.7,"Media",IF(S91&gt;=2,"Baja","Muy baja"))))</x:f>
        <x:v>Alta</x:v>
      </x:c>
      <x:c r="U91" s="308" t="str">
        <x:v>Investigaciones, corrupción y asuntos subcubiertos</x:v>
      </x:c>
      <x:c r="V91" s="308" t="str">
        <x:v>Moderada</x:v>
      </x:c>
      <x:c r="W91" s="308" t="str">
        <x:v>Documentos originales, respuestas de implicados y prensa nacional</x:v>
      </x:c>
      <x:c r="X91" s="308" t="str">
        <x:v>Nuevo recomendado</x:v>
      </x:c>
      <x:c r="Y91" s="308" t="str">
        <x:v>Casa de periodismo investigativo con sede en Nairobi; prioriza investigaciones visuales y de largo formato.</x:v>
      </x:c>
      <x:c r="Z91" s="314" t="str">
        <x:v>https://africauncensored.online/about/</x:v>
      </x:c>
      <x:c r="AA91" s="310" t="n">
        <x:v>46219</x:v>
      </x:c>
    </x:row>
    <x:row r="92">
      <x:c r="A92" s="309" t="n">
        <x:v>88</x:v>
      </x:c>
      <x:c r="B92" s="312" t="str">
        <x:v>ACTUALITE.CD</x:v>
      </x:c>
      <x:c r="C92" s="313" t="str">
        <x:v>https://actualite.cd/</x:v>
      </x:c>
      <x:c r="D92" s="308" t="str">
        <x:v>República Democrática del Congo; redacción en Kinshasa y corresponsales nacionales</x:v>
      </x:c>
      <x:c r="E92" s="308" t="str">
        <x:v>África Central</x:v>
      </x:c>
      <x:c r="F92" s="308" t="str">
        <x:v>Francés</x:v>
      </x:c>
      <x:c r="G92" s="308" t="str">
        <x:v>Medio digital generalista</x:v>
      </x:c>
      <x:c r="H92" s="308" t="str">
        <x:v>Política, seguridad, economía y sociedad</x:v>
      </x:c>
      <x:c r="I92" s="308" t="str">
        <x:v>Groupe Next Corp.</x:v>
      </x:c>
      <x:c r="J92" s="308" t="str">
        <x:v>Privado</x:v>
      </x:c>
      <x:c r="K92" s="308" t="str">
        <x:v>Centro / institucional</x:v>
      </x:c>
      <x:c r="L92" s="308" t="str">
        <x:v>Congoleña</x:v>
      </x:c>
      <x:c r="M92" s="309" t="n">
        <x:v>4</x:v>
      </x:c>
      <x:c r="N92" s="309" t="n">
        <x:v>3</x:v>
      </x:c>
      <x:c r="O92" s="309" t="n">
        <x:v>3</x:v>
      </x:c>
      <x:c r="P92" s="309" t="n">
        <x:v>4</x:v>
      </x:c>
      <x:c r="Q92" s="309" t="n">
        <x:v>3</x:v>
      </x:c>
      <x:c r="R92" s="309" t="n">
        <x:v>4</x:v>
      </x:c>
      <x:c r="S92" s="311" t="n">
        <x:f>ROUND(AVERAGE(M92:R92),1)</x:f>
        <x:v>3.5</x:v>
      </x:c>
      <x:c r="T92" s="309" t="str">
        <x:f>IF(S92&gt;=4.3,"Alta",IF(S92&gt;=3.5,"Media-alta",IF(S92&gt;=2.7,"Media",IF(S92&gt;=2,"Baja","Muy baja"))))</x:f>
        <x:v>Media-alta</x:v>
      </x:c>
      <x:c r="U92" s="308" t="str">
        <x:v>RDC, conflicto oriental, política y economía</x:v>
      </x:c>
      <x:c r="V92" s="308" t="str">
        <x:v>Alta en conflictos y primicias</x:v>
      </x:c>
      <x:c r="W92" s="308" t="str">
        <x:v>Radio Okapi, Reuters/AFP, MONUSCO, ACLED y medios locales</x:v>
      </x:c>
      <x:c r="X92" s="308" t="str">
        <x:v>Nuevo recomendado</x:v>
      </x:c>
      <x:c r="Y92" s="308" t="str">
        <x:v>Fuente local importante para la RDC; verificar información operativa sobre grupos armados y zonas de difícil acceso.</x:v>
      </x:c>
      <x:c r="Z92" s="314" t="str">
        <x:v>https://actualite.cd/</x:v>
      </x:c>
      <x:c r="AA92" s="310" t="n">
        <x:v>46219</x:v>
      </x:c>
    </x:row>
    <x:row r="93">
      <x:c r="A93" s="309" t="n">
        <x:v>89</x:v>
      </x:c>
      <x:c r="B93" s="312" t="str">
        <x:v>Radio Okapi</x:v>
      </x:c>
      <x:c r="C93" s="313" t="str">
        <x:v>https://www.radiookapi.net/</x:v>
      </x:c>
      <x:c r="D93" s="308" t="str">
        <x:v>República Democrática del Congo; gestionada por MONUSCO</x:v>
      </x:c>
      <x:c r="E93" s="308" t="str">
        <x:v>África Central</x:v>
      </x:c>
      <x:c r="F93" s="308" t="str">
        <x:v>Francés/Lingala/Swahili/Kikongo</x:v>
      </x:c>
      <x:c r="G93" s="308" t="str">
        <x:v>Radiodifusor de Naciones Unidas</x:v>
      </x:c>
      <x:c r="H93" s="308" t="str">
        <x:v>Noticias, servicio público y diálogo nacional</x:v>
      </x:c>
      <x:c r="I93" s="308" t="str">
        <x:v>Naciones Unidas / MONUSCO</x:v>
      </x:c>
      <x:c r="J93" s="308" t="str">
        <x:v>Internacional / oficial</x:v>
      </x:c>
      <x:c r="K93" s="308" t="str">
        <x:v>Servicio público / multilateral</x:v>
      </x:c>
      <x:c r="L93" s="308" t="str">
        <x:v>Congoleña / ONU</x:v>
      </x:c>
      <x:c r="M93" s="309" t="n">
        <x:v>4</x:v>
      </x:c>
      <x:c r="N93" s="309" t="n">
        <x:v>3</x:v>
      </x:c>
      <x:c r="O93" s="309" t="n">
        <x:v>5</x:v>
      </x:c>
      <x:c r="P93" s="309" t="n">
        <x:v>4</x:v>
      </x:c>
      <x:c r="Q93" s="309" t="n">
        <x:v>4</x:v>
      </x:c>
      <x:c r="R93" s="309" t="n">
        <x:v>5</x:v>
      </x:c>
      <x:c r="S93" s="311" t="n">
        <x:f>ROUND(AVERAGE(M93:R93),1)</x:f>
        <x:v>4.2</x:v>
      </x:c>
      <x:c r="T93" s="309" t="str">
        <x:f>IF(S93&gt;=4.3,"Alta",IF(S93&gt;=3.5,"Media-alta",IF(S93&gt;=2.7,"Media",IF(S93&gt;=2,"Baja","Muy baja"))))</x:f>
        <x:v>Media-alta</x:v>
      </x:c>
      <x:c r="U93" s="308" t="str">
        <x:v>RDC, información territorial y comunicaciones de servicio público</x:v>
      </x:c>
      <x:c r="V93" s="308" t="str">
        <x:v>Moderada</x:v>
      </x:c>
      <x:c r="W93" s="308" t="str">
        <x:v>Medios congoleños independientes, agencias y documentación local</x:v>
      </x:c>
      <x:c r="X93" s="308" t="str">
        <x:v>Nuevo recomendado</x:v>
      </x:c>
      <x:c r="Y93" s="308" t="str">
        <x:v>Amplia red territorial y multilingüe; su vinculación con MONUSCO debe declararse en asuntos relacionados con la misión.</x:v>
      </x:c>
      <x:c r="Z93" s="314" t="str">
        <x:v>https://www.radiookapi.net/page/propos</x:v>
      </x:c>
      <x:c r="AA93" s="310" t="n">
        <x:v>46219</x:v>
      </x:c>
    </x:row>
    <x:row r="94">
      <x:c r="A94" s="309" t="n">
        <x:v>90</x:v>
      </x:c>
      <x:c r="B94" s="312" t="str">
        <x:v>amaBhungane</x:v>
      </x:c>
      <x:c r="C94" s="313" t="str">
        <x:v>https://amabhungane.org/</x:v>
      </x:c>
      <x:c r="D94" s="308" t="str">
        <x:v>Sudáfrica; investigaciones con alcance regional</x:v>
      </x:c>
      <x:c r="E94" s="308" t="str">
        <x:v>África Austral</x:v>
      </x:c>
      <x:c r="F94" s="308" t="str">
        <x:v>Inglés</x:v>
      </x:c>
      <x:c r="G94" s="308" t="str">
        <x:v>Centro de investigación periodística</x:v>
      </x:c>
      <x:c r="H94" s="308" t="str">
        <x:v>Investigaciones de corrupción, dinero y abuso de poder</x:v>
      </x:c>
      <x:c r="I94" s="308" t="str">
        <x:v>Organización independiente sin fines de lucro</x:v>
      </x:c>
      <x:c r="J94" s="308" t="str">
        <x:v>Independiente</x:v>
      </x:c>
      <x:c r="K94" s="308" t="str">
        <x:v>Rendición de cuentas / transparencia</x:v>
      </x:c>
      <x:c r="L94" s="308" t="str">
        <x:v>Sudafricana / África Austral</x:v>
      </x:c>
      <x:c r="M94" s="309" t="n">
        <x:v>5</x:v>
      </x:c>
      <x:c r="N94" s="309" t="n">
        <x:v>5</x:v>
      </x:c>
      <x:c r="O94" s="309" t="n">
        <x:v>5</x:v>
      </x:c>
      <x:c r="P94" s="309" t="n">
        <x:v>5</x:v>
      </x:c>
      <x:c r="Q94" s="309" t="n">
        <x:v>5</x:v>
      </x:c>
      <x:c r="R94" s="309" t="n">
        <x:v>5</x:v>
      </x:c>
      <x:c r="S94" s="311" t="n">
        <x:f>ROUND(AVERAGE(M94:R94),1)</x:f>
        <x:v>5</x:v>
      </x:c>
      <x:c r="T94" s="309" t="str">
        <x:f>IF(S94&gt;=4.3,"Alta",IF(S94&gt;=3.5,"Media-alta",IF(S94&gt;=2.7,"Media",IF(S94&gt;=2,"Baja","Muy baja"))))</x:f>
        <x:v>Alta</x:v>
      </x:c>
      <x:c r="U94" s="308" t="str">
        <x:v>Investigaciones complejas, corrupción y captura del Estado</x:v>
      </x:c>
      <x:c r="V94" s="308" t="str">
        <x:v>Baja a moderada</x:v>
      </x:c>
      <x:c r="W94" s="308" t="str">
        <x:v>Documentos originales, respuestas de implicados y registros corporativos</x:v>
      </x:c>
      <x:c r="X94" s="308" t="str">
        <x:v>Nuevo recomendado</x:v>
      </x:c>
      <x:c r="Y94" s="308" t="str">
        <x:v>Redacción sin fines de lucro especializada en investigaciones documentales y de largo plazo.</x:v>
      </x:c>
      <x:c r="Z94" s="314" t="str">
        <x:v>https://amabhungane.org/about/</x:v>
      </x:c>
      <x:c r="AA94" s="310" t="n">
        <x:v>46219</x:v>
      </x:c>
    </x:row>
    <x:row r="95">
      <x:c r="A95" s="309" t="n">
        <x:v>91</x:v>
      </x:c>
      <x:c r="B95" s="312" t="str">
        <x:v>Mail &amp; Guardian</x:v>
      </x:c>
      <x:c r="C95" s="313" t="str">
        <x:v>https://mg.co.za/</x:v>
      </x:c>
      <x:c r="D95" s="308" t="str">
        <x:v>Sudáfrica; cobertura de África Austral</x:v>
      </x:c>
      <x:c r="E95" s="308" t="str">
        <x:v>África Austral</x:v>
      </x:c>
      <x:c r="F95" s="308" t="str">
        <x:v>Inglés</x:v>
      </x:c>
      <x:c r="G95" s="308" t="str">
        <x:v>Medio generalista / semanal</x:v>
      </x:c>
      <x:c r="H95" s="308" t="str">
        <x:v>Noticias, investigación, análisis y opinión</x:v>
      </x:c>
      <x:c r="I95" s="308" t="str">
        <x:v>Privado comercial</x:v>
      </x:c>
      <x:c r="J95" s="308" t="str">
        <x:v>Privado</x:v>
      </x:c>
      <x:c r="K95" s="308" t="str">
        <x:v>Centro-izquierda / liberal</x:v>
      </x:c>
      <x:c r="L95" s="308" t="str">
        <x:v>Sudafricana / regional</x:v>
      </x:c>
      <x:c r="M95" s="309" t="n">
        <x:v>4</x:v>
      </x:c>
      <x:c r="N95" s="309" t="n">
        <x:v>4</x:v>
      </x:c>
      <x:c r="O95" s="309" t="n">
        <x:v>4</x:v>
      </x:c>
      <x:c r="P95" s="309" t="n">
        <x:v>4</x:v>
      </x:c>
      <x:c r="Q95" s="309" t="n">
        <x:v>4</x:v>
      </x:c>
      <x:c r="R95" s="309" t="n">
        <x:v>4</x:v>
      </x:c>
      <x:c r="S95" s="311" t="n">
        <x:f>ROUND(AVERAGE(M95:R95),1)</x:f>
        <x:v>4</x:v>
      </x:c>
      <x:c r="T95" s="309" t="str">
        <x:f>IF(S95&gt;=4.3,"Alta",IF(S95&gt;=3.5,"Media-alta",IF(S95&gt;=2.7,"Media",IF(S95&gt;=2,"Baja","Muy baja"))))</x:f>
        <x:v>Media-alta</x:v>
      </x:c>
      <x:c r="U95" s="308" t="str">
        <x:v>Sudáfrica, política regional, medioambiente y cultura</x:v>
      </x:c>
      <x:c r="V95" s="308" t="str">
        <x:v>Moderada</x:v>
      </x:c>
      <x:c r="W95" s="308" t="str">
        <x:v>Daily Maverick, amaBhungane, agencias y documentos</x:v>
      </x:c>
      <x:c r="X95" s="308" t="str">
        <x:v>Nuevo recomendado</x:v>
      </x:c>
      <x:c r="Y95" s="308" t="str">
        <x:v>Medio de referencia sudafricano; separar claramente investigación, noticias y comentario.</x:v>
      </x:c>
      <x:c r="Z95" s="314" t="str">
        <x:v>https://mg.co.za/about-us/</x:v>
      </x:c>
      <x:c r="AA95" s="310" t="n">
        <x:v>46219</x:v>
      </x:c>
    </x:row>
    <x:row r="96">
      <x:c r="A96" s="61" t="n">
        <x:v>92</x:v>
      </x:c>
      <x:c r="B96" s="73" t="str">
        <x:v>The Namibian</x:v>
      </x:c>
      <x:c r="C96" s="77" t="str">
        <x:v>https://www.namibian.com.na/</x:v>
      </x:c>
      <x:c r="D96" s="53" t="str">
        <x:v>Namibia</x:v>
      </x:c>
      <x:c r="E96" s="53" t="str">
        <x:v>África Austral</x:v>
      </x:c>
      <x:c r="F96" s="53" t="str">
        <x:v>Inglés/Oshiwambo</x:v>
      </x:c>
      <x:c r="G96" s="53" t="str">
        <x:v>Medio generalista</x:v>
      </x:c>
      <x:c r="H96" s="53" t="str">
        <x:v>Noticias nacionales, investigación y economía</x:v>
      </x:c>
      <x:c r="I96" s="53" t="str">
        <x:v>The Free Press of Namibia (Pty) Ltd.</x:v>
      </x:c>
      <x:c r="J96" s="53" t="str">
        <x:v>Privado</x:v>
      </x:c>
      <x:c r="K96" s="53" t="str">
        <x:v>Liberal / independencia y democracia</x:v>
      </x:c>
      <x:c r="L96" s="53" t="str">
        <x:v>Namibia / África Austral</x:v>
      </x:c>
      <x:c r="M96" s="61" t="n">
        <x:v>4</x:v>
      </x:c>
      <x:c r="N96" s="61" t="n">
        <x:v>4</x:v>
      </x:c>
      <x:c r="O96" s="61" t="n">
        <x:v>4</x:v>
      </x:c>
      <x:c r="P96" s="61" t="n">
        <x:v>4</x:v>
      </x:c>
      <x:c r="Q96" s="61" t="n">
        <x:v>4</x:v>
      </x:c>
      <x:c r="R96" s="61" t="n">
        <x:v>4</x:v>
      </x:c>
      <x:c r="S96" s="69" t="n">
        <x:f>ROUND(AVERAGE(M96:R96),1)</x:f>
        <x:v>4</x:v>
      </x:c>
      <x:c r="T96" s="61" t="str">
        <x:f>IF(S96&gt;=4.3,"Alta",IF(S96&gt;=3.5,"Media-alta",IF(S96&gt;=2.7,"Media",IF(S96&gt;=2,"Baja","Muy baja"))))</x:f>
        <x:v>Media-alta</x:v>
      </x:c>
      <x:c r="U96" s="53" t="str">
        <x:v>Namibia, recursos naturales, economía y política regional</x:v>
      </x:c>
      <x:c r="V96" s="53" t="str">
        <x:v>Moderada</x:v>
      </x:c>
      <x:c r="W96" s="53" t="str">
        <x:v>Documentos, agencias y medios de África Austral</x:v>
      </x:c>
      <x:c r="X96" s="53" t="str">
        <x:v>Nuevo recomendado</x:v>
      </x:c>
      <x:c r="Y96" s="53" t="str">
        <x:v>Diario de amplia implantación nacional con trayectoria vinculada a la independencia y la prensa libre.</x:v>
      </x:c>
      <x:c r="Z96" s="81" t="str">
        <x:v>https://www.namibian.com.na/about-us/</x:v>
      </x:c>
      <x:c r="AA96" s="65" t="n">
        <x:v>46219</x:v>
      </x:c>
    </x:row>
    <x:row r="97">
      <x:c r="A97" t="n">
        <x:v>93</x:v>
      </x:c>
      <x:c r="B97" t="str">
        <x:v>Geopolitical Futures</x:v>
      </x:c>
      <x:c r="C97" t="str">
        <x:v>https://geopoliticalfutures.com/</x:v>
      </x:c>
      <x:c r="D97" t="str">
        <x:v>Estados Unidos; sede en Austin, Texas; alcance global</x:v>
      </x:c>
      <x:c r="E97" t="str">
        <x:v>Global/Occidente</x:v>
      </x:c>
      <x:c r="F97" t="str">
        <x:v>Inglés</x:v>
      </x:c>
      <x:c r="G97" t="str">
        <x:v>Publicación especializada de análisis geopolítico</x:v>
      </x:c>
      <x:c r="H97" t="str">
        <x:v>Análisis estratégico, prospectiva y evaluación de riesgos geopolíticos</x:v>
      </x:c>
      <x:c r="I97" t="str">
        <x:v>Empresa privada; modelo de suscripción y apoyo de lectores</x:v>
      </x:c>
      <x:c r="J97" t="str">
        <x:v>Privado</x:v>
      </x:c>
      <x:c r="K97" t="str">
        <x:v>Realista / pragmático</x:v>
      </x:c>
      <x:c r="L97" t="str">
        <x:v>Estadounidense / realista geoestratégica</x:v>
      </x:c>
      <x:c r="M97" t="n">
        <x:v>4</x:v>
      </x:c>
      <x:c r="N97" t="n">
        <x:v>4</x:v>
      </x:c>
      <x:c r="O97" t="n">
        <x:v>3</x:v>
      </x:c>
      <x:c r="P97" t="n">
        <x:v>4</x:v>
      </x:c>
      <x:c r="Q97" t="n">
        <x:v>3</x:v>
      </x:c>
      <x:c r="R97" t="n">
        <x:v>4</x:v>
      </x:c>
      <x:c r="S97" t="n">
        <x:v>3.7</x:v>
      </x:c>
      <x:c r="T97" t="str">
        <x:v>Media-alta</x:v>
      </x:c>
      <x:c r="U97" t="str">
        <x:v>Escenarios, análisis estructural y seguimiento de riesgos geopolíticos</x:v>
      </x:c>
      <x:c r="V97" t="str">
        <x:v>Moderada-alta</x:v>
      </x:c>
      <x:c r="W97" t="str">
        <x:v>Reuters/AP, fuentes primarias, think tanks de perspectivas distintas y medios locales</x:v>
      </x:c>
      <x:c r="X97" t="str">
        <x:v>Nuevo recomendado</x:v>
      </x:c>
      <x:c r="Y97" t="str">
        <x:v>Fundada por George Friedman. Ofrece análisis y previsiones mediante un modelo propio; sus interpretaciones y pronósticos deben contrastarse con datos, fuentes primarias y perspectivas regionales. No usar como confirmación única de hechos.</x:v>
      </x:c>
      <x:c r="Z97" t="str">
        <x:v>https://geopoliticalfutures.com/analysis/</x:v>
      </x:c>
      <x:c r="AA97" t="n">
        <x:v>46229</x:v>
      </x:c>
    </x:row>
    <x:row r="98">
      <x:c r="A98" t="n">
        <x:v>94</x:v>
      </x:c>
      <x:c r="B98" t="str">
        <x:v>Carnegie Endowment for International Peace</x:v>
      </x:c>
      <x:c r="C98" t="str">
        <x:v>https://carnegieendowment.org/</x:v>
      </x:c>
      <x:c r="D98" t="str"/>
      <x:c r="E98" t="str">
        <x:v>Global/Occidente</x:v>
      </x:c>
      <x:c r="F98" t="str">
        <x:v>Multilingüe</x:v>
      </x:c>
      <x:c r="G98" t="str">
        <x:v>Think tank</x:v>
      </x:c>
      <x:c r="H98" t="str">
        <x:v>Análisis de política internacional</x:v>
      </x:c>
      <x:c r="I98" t="str"/>
      <x:c r="J98" t="str"/>
      <x:c r="K98" t="str"/>
      <x:c r="L98" t="str">
        <x:v>Estadounidense / internacionalista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str">
        <x:v>Por revisar</x:v>
      </x:c>
      <x:c r="U98" t="str">
        <x:v>Fuente incorporada para seguimiento editorial.</x:v>
      </x:c>
      <x:c r="V98" t="str">
        <x:v>Corroborar afirmaciones sensibles con otra familia de fuentes.</x:v>
      </x:c>
      <x:c r="W98" t="str"/>
      <x:c r="X98" t="str">
        <x:v>propuesto</x:v>
      </x:c>
      <x:c r="Y98" t="str">
        <x:v>Alta asistida durante la preparación de macroeventos sobre Turquía.</x:v>
      </x:c>
      <x:c r="Z98" t="str">
        <x:v>https://carnegieendowment.org/</x:v>
      </x:c>
      <x:c r="AA98" t="n">
        <x:v>46260</x:v>
      </x:c>
      <x:c r="AB98" t="str">
        <x:v>carnegie-endowment</x:v>
      </x:c>
    </x:row>
    <x:row r="99">
      <x:c r="A99" t="n">
        <x:v>95</x:v>
      </x:c>
      <x:c r="B99" t="str">
        <x:v>U.S. Department of Defense</x:v>
      </x:c>
      <x:c r="C99" t="str">
        <x:v>https://www.defense.gov/</x:v>
      </x:c>
      <x:c r="D99" t="str"/>
      <x:c r="E99" t="str">
        <x:v>Global</x:v>
      </x:c>
      <x:c r="F99" t="str">
        <x:v>Multilingüe</x:v>
      </x:c>
      <x:c r="G99" t="str">
        <x:v>Agencia gubernamental</x:v>
      </x:c>
      <x:c r="H99" t="str">
        <x:v>Documentación y supervisión de defensa</x:v>
      </x:c>
      <x:c r="I99" t="str"/>
      <x:c r="J99" t="str"/>
      <x:c r="K99" t="str"/>
      <x:c r="L99" t="str">
        <x:v>Estadounidense / militar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str">
        <x:v>Por revisar</x:v>
      </x:c>
      <x:c r="U99" t="str">
        <x:v>Fuente incorporada para seguimiento editorial.</x:v>
      </x:c>
      <x:c r="V99" t="str">
        <x:v>Corroborar afirmaciones sensibles con otra familia de fuentes.</x:v>
      </x:c>
      <x:c r="W99" t="str"/>
      <x:c r="X99" t="str">
        <x:v>propuesto</x:v>
      </x:c>
      <x:c r="Y99" t="str">
        <x:v>Alta asistida durante la preparación de macroeventos sobre Turquía.</x:v>
      </x:c>
      <x:c r="Z99" t="str">
        <x:v>https://www.defense.gov/</x:v>
      </x:c>
      <x:c r="AA99" t="n">
        <x:v>46260</x:v>
      </x:c>
      <x:c r="AB99" t="str">
        <x:v>us-department-defense</x:v>
      </x:c>
    </x:row>
    <x:row r="100">
      <x:c r="A100" t="n">
        <x:v>96</x:v>
      </x:c>
      <x:c r="B100" t="str">
        <x:v>Brookings Institution</x:v>
      </x:c>
      <x:c r="C100" t="str">
        <x:v>https://www.brookings.edu/</x:v>
      </x:c>
      <x:c r="D100" t="str"/>
      <x:c r="E100" t="str">
        <x:v>Global/Occidente</x:v>
      </x:c>
      <x:c r="F100" t="str">
        <x:v>Multilingüe</x:v>
      </x:c>
      <x:c r="G100" t="str">
        <x:v>Think tank</x:v>
      </x:c>
      <x:c r="H100" t="str">
        <x:v>Investigación y análisis de políticas</x:v>
      </x:c>
      <x:c r="I100" t="str"/>
      <x:c r="J100" t="str"/>
      <x:c r="K100" t="str"/>
      <x:c r="L100" t="str">
        <x:v>Estadounidense / política pública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str">
        <x:v>Por revisar</x:v>
      </x:c>
      <x:c r="U100" t="str">
        <x:v>Fuente incorporada para seguimiento editorial.</x:v>
      </x:c>
      <x:c r="V100" t="str">
        <x:v>Corroborar afirmaciones sensibles con otra familia de fuentes.</x:v>
      </x:c>
      <x:c r="W100" t="str"/>
      <x:c r="X100" t="str">
        <x:v>propuesto</x:v>
      </x:c>
      <x:c r="Y100" t="str">
        <x:v>Alta asistida durante la preparación de macroeventos sobre Turquía.</x:v>
      </x:c>
      <x:c r="Z100" t="str">
        <x:v>https://www.brookings.edu/</x:v>
      </x:c>
      <x:c r="AA100" t="n">
        <x:v>46260</x:v>
      </x:c>
      <x:c r="AB100" t="str">
        <x:v>brookings-institution</x:v>
      </x:c>
    </x:row>
    <x:row r="101">
      <x:c r="A101" t="n">
        <x:v>97</x:v>
      </x:c>
      <x:c r="B101" t="str">
        <x:v>Anadolu Agency</x:v>
      </x:c>
      <x:c r="C101" t="str">
        <x:v>https://www.aa.com.tr/</x:v>
      </x:c>
      <x:c r="D101" t="str"/>
      <x:c r="E101" t="str">
        <x:v>Turquía/Global</x:v>
      </x:c>
      <x:c r="F101" t="str">
        <x:v>Multilingüe</x:v>
      </x:c>
      <x:c r="G101" t="str">
        <x:v>Agencia estatal de noticias</x:v>
      </x:c>
      <x:c r="H101" t="str">
        <x:v>Noticias, entrevistas y comunicados</x:v>
      </x:c>
      <x:c r="I101" t="str"/>
      <x:c r="J101" t="str"/>
      <x:c r="K101" t="str"/>
      <x:c r="L101" t="str">
        <x:v>Turca / estatal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str">
        <x:v>Por revisar</x:v>
      </x:c>
      <x:c r="U101" t="str">
        <x:v>Fuente incorporada para seguimiento editorial.</x:v>
      </x:c>
      <x:c r="V101" t="str">
        <x:v>Corroborar afirmaciones sensibles con otra familia de fuentes.</x:v>
      </x:c>
      <x:c r="W101" t="str"/>
      <x:c r="X101" t="str">
        <x:v>propuesto</x:v>
      </x:c>
      <x:c r="Y101" t="str">
        <x:v>Alta asistida durante la preparación de macroeventos sobre Turquía.</x:v>
      </x:c>
      <x:c r="Z101" t="str">
        <x:v>https://www.aa.com.tr/</x:v>
      </x:c>
      <x:c r="AA101" t="n">
        <x:v>46260</x:v>
      </x:c>
      <x:c r="AB101" t="str">
        <x:v>anadolu-agency</x:v>
      </x:c>
    </x:row>
    <x:row r="102">
      <x:c r="A102" t="n">
        <x:v>98</x:v>
      </x:c>
      <x:c r="B102" t="str">
        <x:v>Le Monde</x:v>
      </x:c>
      <x:c r="C102" t="str">
        <x:v>https://www.lemonde.fr/</x:v>
      </x:c>
      <x:c r="D102" t="str"/>
      <x:c r="E102" t="str">
        <x:v>Europa/Global</x:v>
      </x:c>
      <x:c r="F102" t="str">
        <x:v>Multilingüe</x:v>
      </x:c>
      <x:c r="G102" t="str">
        <x:v>Medio generalista</x:v>
      </x:c>
      <x:c r="H102" t="str">
        <x:v>Información y análisis internacional</x:v>
      </x:c>
      <x:c r="I102" t="str"/>
      <x:c r="J102" t="str"/>
      <x:c r="K102" t="str"/>
      <x:c r="L102" t="str">
        <x:v>Francesa / europea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str">
        <x:v>Por revisar</x:v>
      </x:c>
      <x:c r="U102" t="str">
        <x:v>Fuente incorporada para seguimiento editorial.</x:v>
      </x:c>
      <x:c r="V102" t="str">
        <x:v>Corroborar afirmaciones sensibles con otra familia de fuentes.</x:v>
      </x:c>
      <x:c r="W102" t="str"/>
      <x:c r="X102" t="str">
        <x:v>propuesto</x:v>
      </x:c>
      <x:c r="Y102" t="str">
        <x:v>Alta asistida durante la preparación de macroeventos sobre Turquía.</x:v>
      </x:c>
      <x:c r="Z102" t="str">
        <x:v>https://www.lemonde.fr/</x:v>
      </x:c>
      <x:c r="AA102" t="n">
        <x:v>46260</x:v>
      </x:c>
      <x:c r="AB102" t="str">
        <x:v>le-monde</x:v>
      </x:c>
    </x:row>
    <x:row r="103">
      <x:c r="A103" t="n">
        <x:v>99</x:v>
      </x:c>
      <x:c r="B103" t="str">
        <x:v>Secretariat of Defence Industries (SSB)</x:v>
      </x:c>
      <x:c r="C103" t="str">
        <x:v>https://www.ssb.gov.tr/</x:v>
      </x:c>
      <x:c r="D103" t="str"/>
      <x:c r="E103" t="str">
        <x:v>Turquía</x:v>
      </x:c>
      <x:c r="F103" t="str">
        <x:v>Multilingüe</x:v>
      </x:c>
      <x:c r="G103" t="str">
        <x:v>Agencia gubernamental</x:v>
      </x:c>
      <x:c r="H103" t="str">
        <x:v>Datos y comunicados oficiales del sector</x:v>
      </x:c>
      <x:c r="I103" t="str"/>
      <x:c r="J103" t="str"/>
      <x:c r="K103" t="str"/>
      <x:c r="L103" t="str">
        <x:v>Turca / industria de defensa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str">
        <x:v>Por revisar</x:v>
      </x:c>
      <x:c r="U103" t="str">
        <x:v>Fuente incorporada para seguimiento editorial.</x:v>
      </x:c>
      <x:c r="V103" t="str">
        <x:v>Corroborar afirmaciones sensibles con otra familia de fuentes.</x:v>
      </x:c>
      <x:c r="W103" t="str"/>
      <x:c r="X103" t="str">
        <x:v>propuesto</x:v>
      </x:c>
      <x:c r="Y103" t="str">
        <x:v>Alta asistida durante la preparación de macroeventos sobre Turquía.</x:v>
      </x:c>
      <x:c r="Z103" t="str">
        <x:v>https://www.ssb.gov.tr/</x:v>
      </x:c>
      <x:c r="AA103" t="n">
        <x:v>46260</x:v>
      </x:c>
      <x:c r="AB103" t="str">
        <x:v>turkiye-ssb</x:v>
      </x:c>
    </x:row>
    <x:row r="104">
      <x:c r="A104" t="n">
        <x:v>100</x:v>
      </x:c>
      <x:c r="B104" t="str">
        <x:v>TotalEnergies</x:v>
      </x:c>
      <x:c r="C104" t="str">
        <x:v>https://totalenergies.com/</x:v>
      </x:c>
      <x:c r="D104" t="str"/>
      <x:c r="E104" t="str">
        <x:v>Global/Europa</x:v>
      </x:c>
      <x:c r="F104" t="str">
        <x:v>Multilingüe</x:v>
      </x:c>
      <x:c r="G104" t="str">
        <x:v>Fuente corporativa</x:v>
      </x:c>
      <x:c r="H104" t="str">
        <x:v>Información primaria sobre proyectos propios</x:v>
      </x:c>
      <x:c r="I104" t="str"/>
      <x:c r="J104" t="str"/>
      <x:c r="K104" t="str"/>
      <x:c r="L104" t="str">
        <x:v>Corporativa / energética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str">
        <x:v>Por revisar</x:v>
      </x:c>
      <x:c r="U104" t="str">
        <x:v>Fuente incorporada para seguimiento editorial.</x:v>
      </x:c>
      <x:c r="V104" t="str">
        <x:v>Corroborar afirmaciones sensibles con otra familia de fuentes.</x:v>
      </x:c>
      <x:c r="W104" t="str"/>
      <x:c r="X104" t="str">
        <x:v>propuesto</x:v>
      </x:c>
      <x:c r="Y104" t="str">
        <x:v>Alta asistida durante la preparación de macroeventos sobre Turquía.</x:v>
      </x:c>
      <x:c r="Z104" t="str">
        <x:v>https://totalenergies.com/</x:v>
      </x:c>
      <x:c r="AA104" t="n">
        <x:v>46260</x:v>
      </x:c>
      <x:c r="AB104" t="str">
        <x:v>totalenergies</x:v>
      </x:c>
    </x:row>
    <x:row r="105">
      <x:c r="A105" t="n">
        <x:v>101</x:v>
      </x:c>
      <x:c r="B105" t="str">
        <x:v>Eni</x:v>
      </x:c>
      <x:c r="C105" t="str">
        <x:v>https://www.eni.com/</x:v>
      </x:c>
      <x:c r="D105" t="str"/>
      <x:c r="E105" t="str">
        <x:v>Global/Europa</x:v>
      </x:c>
      <x:c r="F105" t="str">
        <x:v>Multilingüe</x:v>
      </x:c>
      <x:c r="G105" t="str">
        <x:v>Fuente corporativa</x:v>
      </x:c>
      <x:c r="H105" t="str">
        <x:v>Información primaria sobre proyectos propios</x:v>
      </x:c>
      <x:c r="I105" t="str"/>
      <x:c r="J105" t="str"/>
      <x:c r="K105" t="str"/>
      <x:c r="L105" t="str">
        <x:v>Corporativa / energética</x:v>
      </x:c>
      <x:c r="M105" t="n">
        <x:v>0</x:v>
      </x:c>
      <x:c r="N105" t="n">
        <x:v>0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0</x:v>
      </x:c>
      <x:c r="T105" t="str">
        <x:v>Por revisar</x:v>
      </x:c>
      <x:c r="U105" t="str">
        <x:v>Fuente incorporada para seguimiento editorial.</x:v>
      </x:c>
      <x:c r="V105" t="str">
        <x:v>Corroborar afirmaciones sensibles con otra familia de fuentes.</x:v>
      </x:c>
      <x:c r="W105" t="str"/>
      <x:c r="X105" t="str">
        <x:v>propuesto</x:v>
      </x:c>
      <x:c r="Y105" t="str">
        <x:v>Alta asistida durante la preparación de macroeventos sobre Turquía.</x:v>
      </x:c>
      <x:c r="Z105" t="str">
        <x:v>https://www.eni.com/</x:v>
      </x:c>
      <x:c r="AA105" t="n">
        <x:v>46260</x:v>
      </x:c>
      <x:c r="AB105" t="str">
        <x:v>eni</x:v>
      </x:c>
    </x:row>
    <x:row r="106">
      <x:c r="A106" t="n">
        <x:v>102</x:v>
      </x:c>
      <x:c r="B106" t="str">
        <x:v>Italian Ministry of Foreign Affairs and International Cooperation</x:v>
      </x:c>
      <x:c r="C106" t="str">
        <x:v>https://www.esteri.it/</x:v>
      </x:c>
      <x:c r="D106" t="str"/>
      <x:c r="E106" t="str">
        <x:v>Europa</x:v>
      </x:c>
      <x:c r="F106" t="str">
        <x:v>Multilingüe</x:v>
      </x:c>
      <x:c r="G106" t="str">
        <x:v>Ministerio gubernamental</x:v>
      </x:c>
      <x:c r="H106" t="str">
        <x:v>Información oficial y diplomacia económica</x:v>
      </x:c>
      <x:c r="I106" t="str"/>
      <x:c r="J106" t="str"/>
      <x:c r="K106" t="str"/>
      <x:c r="L106" t="str">
        <x:v>Italiana / diplomacia económica</x:v>
      </x:c>
      <x:c r="M106" t="n">
        <x:v>0</x:v>
      </x:c>
      <x:c r="N106" t="n">
        <x:v>0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0</x:v>
      </x:c>
      <x:c r="T106" t="str">
        <x:v>Por revisar</x:v>
      </x:c>
      <x:c r="U106" t="str">
        <x:v>Fuente incorporada para seguimiento editorial.</x:v>
      </x:c>
      <x:c r="V106" t="str">
        <x:v>Corroborar afirmaciones sensibles con otra familia de fuentes.</x:v>
      </x:c>
      <x:c r="W106" t="str"/>
      <x:c r="X106" t="str">
        <x:v>propuesto</x:v>
      </x:c>
      <x:c r="Y106" t="str">
        <x:v>Alta asistida durante la preparación de macroeventos sobre Turquía.</x:v>
      </x:c>
      <x:c r="Z106" t="str">
        <x:v>https://www.esteri.it/</x:v>
      </x:c>
      <x:c r="AA106" t="n">
        <x:v>46260</x:v>
      </x:c>
      <x:c r="AB106" t="str">
        <x:v>italian-foreign-ministry</x:v>
      </x:c>
    </x:row>
    <x:row r="107">
      <x:c r="A107" t="n">
        <x:v>103</x:v>
      </x:c>
      <x:c r="B107" t="str">
        <x:v>Middle East Council on Global Affairs</x:v>
      </x:c>
      <x:c r="C107" t="str">
        <x:v>https://mecouncil.org/</x:v>
      </x:c>
      <x:c r="D107" t="str"/>
      <x:c r="E107" t="str">
        <x:v>Medio Oriente</x:v>
      </x:c>
      <x:c r="F107" t="str">
        <x:v>Multilingüe</x:v>
      </x:c>
      <x:c r="G107" t="str">
        <x:v>Think tank</x:v>
      </x:c>
      <x:c r="H107" t="str">
        <x:v>Investigación de política regional</x:v>
      </x:c>
      <x:c r="I107" t="str"/>
      <x:c r="J107" t="str"/>
      <x:c r="K107" t="str"/>
      <x:c r="L107" t="str">
        <x:v>Regional / Golfo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0</x:v>
      </x:c>
      <x:c r="T107" t="str">
        <x:v>Por revisar</x:v>
      </x:c>
      <x:c r="U107" t="str">
        <x:v>Fuente incorporada para seguimiento editorial.</x:v>
      </x:c>
      <x:c r="V107" t="str">
        <x:v>Corroborar afirmaciones sensibles con otra familia de fuentes.</x:v>
      </x:c>
      <x:c r="W107" t="str"/>
      <x:c r="X107" t="str">
        <x:v>propuesto</x:v>
      </x:c>
      <x:c r="Y107" t="str">
        <x:v>Alta asistida durante la preparación de macroeventos sobre Turquía.</x:v>
      </x:c>
      <x:c r="Z107" t="str">
        <x:v>https://mecouncil.org/</x:v>
      </x:c>
      <x:c r="AA107" t="n">
        <x:v>46260</x:v>
      </x:c>
      <x:c r="AB107" t="str">
        <x:v>middle-east-council-global-affairs</x:v>
      </x:c>
    </x:row>
    <x:row r="108">
      <x:c r="A108" t="n">
        <x:v>104</x:v>
      </x:c>
      <x:c r="B108" t="str">
        <x:v>Iraqi News Agency (INA)</x:v>
      </x:c>
      <x:c r="C108" t="str">
        <x:v>https://ina.iq/</x:v>
      </x:c>
      <x:c r="D108" t="str"/>
      <x:c r="E108" t="str">
        <x:v>Medio Oriente</x:v>
      </x:c>
      <x:c r="F108" t="str">
        <x:v>Multilingüe</x:v>
      </x:c>
      <x:c r="G108" t="str">
        <x:v>Agencia estatal de noticias</x:v>
      </x:c>
      <x:c r="H108" t="str">
        <x:v>Información oficial y noticias nacionales</x:v>
      </x:c>
      <x:c r="I108" t="str"/>
      <x:c r="J108" t="str"/>
      <x:c r="K108" t="str"/>
      <x:c r="L108" t="str">
        <x:v>Iraquí / estatal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t="n">
        <x:v>0</x:v>
      </x:c>
      <x:c r="S108" t="n">
        <x:v>0</x:v>
      </x:c>
      <x:c r="T108" t="str">
        <x:v>Por revisar</x:v>
      </x:c>
      <x:c r="U108" t="str">
        <x:v>Fuente incorporada para seguimiento editorial.</x:v>
      </x:c>
      <x:c r="V108" t="str">
        <x:v>Corroborar afirmaciones sensibles con otra familia de fuentes.</x:v>
      </x:c>
      <x:c r="W108" t="str"/>
      <x:c r="X108" t="str">
        <x:v>propuesto</x:v>
      </x:c>
      <x:c r="Y108" t="str">
        <x:v>Alta asistida durante la preparación de macroeventos sobre Turquía.</x:v>
      </x:c>
      <x:c r="Z108" t="str">
        <x:v>https://ina.iq/</x:v>
      </x:c>
      <x:c r="AA108" t="n">
        <x:v>46260</x:v>
      </x:c>
      <x:c r="AB108" t="str">
        <x:v>iraqi-news-agency</x:v>
      </x:c>
    </x:row>
    <x:row r="109">
      <x:c r="A109" t="n">
        <x:v>105</x:v>
      </x:c>
      <x:c r="B109" t="str">
        <x:v>Republic of Türkiye Ministry of Energy and Natural Resources</x:v>
      </x:c>
      <x:c r="C109" t="str">
        <x:v>https://enerji.gov.tr/</x:v>
      </x:c>
      <x:c r="D109" t="str"/>
      <x:c r="E109" t="str">
        <x:v>Turquía</x:v>
      </x:c>
      <x:c r="F109" t="str">
        <x:v>Multilingüe</x:v>
      </x:c>
      <x:c r="G109" t="str">
        <x:v>Ministerio gubernamental</x:v>
      </x:c>
      <x:c r="H109" t="str">
        <x:v>Datos y comunicados oficiales de energía</x:v>
      </x:c>
      <x:c r="I109" t="str"/>
      <x:c r="J109" t="str"/>
      <x:c r="K109" t="str"/>
      <x:c r="L109" t="str">
        <x:v>Turca / energética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t="n">
        <x:v>0</x:v>
      </x:c>
      <x:c r="R109" t="n">
        <x:v>0</x:v>
      </x:c>
      <x:c r="S109" t="n">
        <x:v>0</x:v>
      </x:c>
      <x:c r="T109" t="str">
        <x:v>Por revisar</x:v>
      </x:c>
      <x:c r="U109" t="str">
        <x:v>Fuente incorporada para seguimiento editorial.</x:v>
      </x:c>
      <x:c r="V109" t="str">
        <x:v>Corroborar afirmaciones sensibles con otra familia de fuentes.</x:v>
      </x:c>
      <x:c r="W109" t="str"/>
      <x:c r="X109" t="str">
        <x:v>propuesto</x:v>
      </x:c>
      <x:c r="Y109" t="str">
        <x:v>Alta asistida durante la preparación de macroeventos sobre Turquía.</x:v>
      </x:c>
      <x:c r="Z109" t="str">
        <x:v>https://enerji.gov.tr/</x:v>
      </x:c>
      <x:c r="AA109" t="n">
        <x:v>46260</x:v>
      </x:c>
      <x:c r="AB109" t="str">
        <x:v>turkiye-energy-ministry</x:v>
      </x:c>
    </x:row>
    <x:row r="110">
      <x:c r="A110" t="n">
        <x:v>106</x:v>
      </x:c>
      <x:c r="B110" t="str">
        <x:v>The Washington Institute for Near East Policy</x:v>
      </x:c>
      <x:c r="C110" t="str">
        <x:v>https://www.washingtoninstitute.org/</x:v>
      </x:c>
      <x:c r="D110" t="str"/>
      <x:c r="E110" t="str">
        <x:v>Estados Unidos/Medio Oriente</x:v>
      </x:c>
      <x:c r="F110" t="str">
        <x:v>Multilingüe</x:v>
      </x:c>
      <x:c r="G110" t="str">
        <x:v>Think tank</x:v>
      </x:c>
      <x:c r="H110" t="str">
        <x:v>Análisis de seguridad y política regional</x:v>
      </x:c>
      <x:c r="I110" t="str"/>
      <x:c r="J110" t="str"/>
      <x:c r="K110" t="str"/>
      <x:c r="L110" t="str">
        <x:v>Estadounidense / seguridad regional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t="n">
        <x:v>0</x:v>
      </x:c>
      <x:c r="R110" t="n">
        <x:v>0</x:v>
      </x:c>
      <x:c r="S110" t="n">
        <x:v>0</x:v>
      </x:c>
      <x:c r="T110" t="str">
        <x:v>Por revisar</x:v>
      </x:c>
      <x:c r="U110" t="str">
        <x:v>Fuente incorporada para seguimiento editorial.</x:v>
      </x:c>
      <x:c r="V110" t="str">
        <x:v>Corroborar afirmaciones sensibles con otra familia de fuentes.</x:v>
      </x:c>
      <x:c r="W110" t="str"/>
      <x:c r="X110" t="str">
        <x:v>propuesto</x:v>
      </x:c>
      <x:c r="Y110" t="str">
        <x:v>Alta asistida durante la preparación de macroeventos sobre Turquía.</x:v>
      </x:c>
      <x:c r="Z110" t="str">
        <x:v>https://www.washingtoninstitute.org/</x:v>
      </x:c>
      <x:c r="AA110" t="n">
        <x:v>46260</x:v>
      </x:c>
      <x:c r="AB110" t="str">
        <x:v>washington-institute</x:v>
      </x:c>
    </x:row>
  </x:sheetData>
  <x:mergeCells>
    <x:mergeCell ref="A1:AA1"/>
    <x:mergeCell ref="A2:AA2"/>
  </x:mergeCells>
  <x:conditionalFormatting sqref="A5:AA78">
    <x:cfRule type="expression" dxfId="0" priority="1">
      <x:formula>MOD(ROW(),2)=0</x:formula>
    </x:cfRule>
  </x:conditionalFormatting>
  <x:conditionalFormatting sqref="M5:S78">
    <x:cfRule type="colorScale" priority="2">
      <x:colorScale>
        <x:cfvo type="min"/>
        <x:cfvo type="percentile" val="50"/>
        <x:cfvo type="max"/>
        <x:color rgb="FFF4CCCC"/>
        <x:color rgb="FFFFF2CC"/>
        <x:color rgb="FFE2F0D9"/>
      </x:colorScale>
    </x:cfRule>
  </x:conditionalFormatting>
  <x:conditionalFormatting sqref="T5:T78">
    <x:cfRule type="expression" dxfId="1" priority="3">
      <x:formula>$T5="Alta"</x:formula>
    </x:cfRule>
    <x:cfRule type="expression" dxfId="2" priority="4">
      <x:formula>$T5="Media-alta"</x:formula>
    </x:cfRule>
    <x:cfRule type="expression" dxfId="3" priority="5">
      <x:formula>$T5="Media"</x:formula>
    </x:cfRule>
    <x:cfRule type="expression" dxfId="4" priority="6">
      <x:formula>$T5="Baja"</x:formula>
    </x:cfRule>
    <x:cfRule type="expression" dxfId="5" priority="7">
      <x:formula>$T5="Muy baja"</x:formula>
    </x:cfRule>
  </x:conditionalFormatting>
  <x:conditionalFormatting sqref="X5:X78">
    <x:cfRule type="expression" dxfId="6" priority="8">
      <x:formula>$X5="Activo"</x:formula>
    </x:cfRule>
    <x:cfRule type="expression" dxfId="7" priority="9">
      <x:formula>$X5="Nuevo recomendado"</x:formula>
    </x:cfRule>
    <x:cfRule type="expression" dxfId="8" priority="10">
      <x:formula>$X5="Uso condicionado"</x:formula>
    </x:cfRule>
    <x:cfRule type="expression" dxfId="9" priority="11">
      <x:formula>$X5="Secundario"</x:formula>
    </x:cfRule>
    <x:cfRule type="expression" dxfId="10" priority="12">
      <x:formula>$X5="Excluir"</x:formula>
    </x:cfRule>
  </x:conditionalFormatting>
  <x:conditionalFormatting sqref="A79:AA96">
    <x:cfRule type="expression" dxfId="11" priority="13">
      <x:formula>MOD(ROW(),2)=0</x:formula>
    </x:cfRule>
  </x:conditionalFormatting>
  <x:conditionalFormatting sqref="M79:S96">
    <x:cfRule type="colorScale" priority="14">
      <x:colorScale>
        <x:cfvo type="min"/>
        <x:cfvo type="percentile" val="50"/>
        <x:cfvo type="max"/>
        <x:color rgb="FFF4CCCC"/>
        <x:color rgb="FFFFF2CC"/>
        <x:color rgb="FFE2F0D9"/>
      </x:colorScale>
    </x:cfRule>
  </x:conditionalFormatting>
  <x:conditionalFormatting sqref="T79:T96">
    <x:cfRule type="expression" dxfId="12" priority="15">
      <x:formula>$T79="Alta"</x:formula>
    </x:cfRule>
    <x:cfRule type="expression" dxfId="13" priority="16">
      <x:formula>$T79="Media-alta"</x:formula>
    </x:cfRule>
    <x:cfRule type="expression" dxfId="14" priority="17">
      <x:formula>$T79="Media"</x:formula>
    </x:cfRule>
    <x:cfRule type="expression" dxfId="15" priority="18">
      <x:formula>$T79="Baja"</x:formula>
    </x:cfRule>
    <x:cfRule type="expression" dxfId="16" priority="19">
      <x:formula>$T79="Muy baja"</x:formula>
    </x:cfRule>
  </x:conditionalFormatting>
  <x:conditionalFormatting sqref="X79:X96">
    <x:cfRule type="expression" dxfId="17" priority="20">
      <x:formula>$X79="Nuevo recomendado"</x:formula>
    </x:cfRule>
  </x:conditionalFormatting>
  <x:dataValidations count="4">
    <x:dataValidation type="list" sqref="M5:R78">
      <x:formula1>"1,2,3,4,5"</x:formula1>
    </x:dataValidation>
    <x:dataValidation type="list" sqref="X5:X78">
      <x:formula1>"Activo,Uso condicionado,Secundario,Excluir,Nuevo recomendado,Pendiente revisión"</x:formula1>
    </x:dataValidation>
    <x:dataValidation type="list" sqref="M79:R96">
      <x:formula1>"1,2,3,4,5"</x:formula1>
    </x:dataValidation>
    <x:dataValidation type="list" sqref="X79:X96">
      <x:formula1>"Activo,Uso condicionado,Secundario,Excluir,Nuevo recomendado,Pendiente revisión"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6ff8bbf627b45c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9" hidden="0" customWidth="1"/>
    <x:col min="3" max="3" width="24" hidden="0" customWidth="1"/>
    <x:col min="4" max="4" width="36" hidden="0" customWidth="1"/>
    <x:col min="5" max="5" width="3" hidden="0" customWidth="1"/>
    <x:col min="6" max="6" width="14" hidden="0" customWidth="1"/>
    <x:col min="7" max="7" width="28" hidden="0" customWidth="1"/>
    <x:col min="8" max="8" width="40" hidden="0" customWidth="1"/>
  </x:cols>
  <x:sheetData>
    <x:row r="1" ht="30" customHeight="1">
      <x:c r="A1" s="4" t="str">
        <x:v>Metodología de evaluación y uso de fuentes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57" t="str">
        <x:v>La credibilidad no es una propiedad absoluta del medio: depende del tipo de afirmación, acceso, incentivos, evidencia y contexto.</x:v>
      </x:c>
      <x:c r="B2" s="157"/>
      <x:c r="C2" s="157"/>
      <x:c r="D2" s="157"/>
      <x:c r="E2" s="157"/>
      <x:c r="F2" s="157"/>
      <x:c r="G2" s="157"/>
      <x:c r="H2" s="157"/>
    </x:row>
    <x:row r="4">
      <x:c r="A4" s="89" t="str">
        <x:v>Dimensión</x:v>
      </x:c>
      <x:c r="B4" s="89" t="str">
        <x:v>Qué evalúa</x:v>
      </x:c>
      <x:c r="C4" s="89" t="str">
        <x:v>1</x:v>
      </x:c>
      <x:c r="D4" s="89" t="str">
        <x:v>5</x:v>
      </x:c>
      <x:c r="F4" s="112" t="str">
        <x:v>Puntuación</x:v>
      </x:c>
      <x:c r="G4" s="112" t="str">
        <x:v>Nivel</x:v>
      </x:c>
      <x:c r="H4" s="112" t="str">
        <x:v>Interpretación</x:v>
      </x:c>
    </x:row>
    <x:row r="5">
      <x:c r="A5" s="174" t="str">
        <x:v>Fiabilidad factual</x:v>
      </x:c>
      <x:c r="B5" s="164" t="str">
        <x:v>Exactitud histórica, control de hechos y calidad de las fuentes.</x:v>
      </x:c>
      <x:c r="C5" s="164" t="str">
        <x:v>Errores frecuentes o propaganda</x:v>
      </x:c>
      <x:c r="D5" s="164" t="str">
        <x:v>Historial sólido y verificación consistente</x:v>
      </x:c>
      <x:c r="F5" s="184" t="str">
        <x:v>4,3–5,0</x:v>
      </x:c>
      <x:c r="G5" s="184" t="str">
        <x:v>Alta</x:v>
      </x:c>
      <x:c r="H5" s="184" t="str">
        <x:v>Adecuada como fuente principal, sin abandonar la verificación en asuntos críticos.</x:v>
      </x:c>
    </x:row>
    <x:row r="6">
      <x:c r="A6" s="174" t="str">
        <x:v>Independencia editorial</x:v>
      </x:c>
      <x:c r="B6" s="164" t="str">
        <x:v>Capacidad de publicar sin control de gobiernos, propietarios o partes interesadas.</x:v>
      </x:c>
      <x:c r="C6" s="164" t="str">
        <x:v>Control directo</x:v>
      </x:c>
      <x:c r="D6" s="164" t="str">
        <x:v>Autonomía editorial fuerte</x:v>
      </x:c>
      <x:c r="F6" s="184" t="str">
        <x:v>3,5–4,2</x:v>
      </x:c>
      <x:c r="G6" s="184" t="str">
        <x:v>Media-alta</x:v>
      </x:c>
      <x:c r="H6" s="184" t="str">
        <x:v>Fuente sólida; conviene triangular temas sensibles o exclusivos.</x:v>
      </x:c>
    </x:row>
    <x:row r="7">
      <x:c r="A7" s="174" t="str">
        <x:v>Transparencia</x:v>
      </x:c>
      <x:c r="B7" s="164" t="str">
        <x:v>Claridad sobre propiedad, financiación, autores, metodología y conflictos.</x:v>
      </x:c>
      <x:c r="C7" s="164" t="str">
        <x:v>Opaca</x:v>
      </x:c>
      <x:c r="D7" s="164" t="str">
        <x:v>Muy transparente</x:v>
      </x:c>
      <x:c r="F7" s="184" t="str">
        <x:v>2,7–3,4</x:v>
      </x:c>
      <x:c r="G7" s="184" t="str">
        <x:v>Media</x:v>
      </x:c>
      <x:c r="H7" s="184" t="str">
        <x:v>Útil con límites claros; requiere corroboración habitual.</x:v>
      </x:c>
    </x:row>
    <x:row r="8">
      <x:c r="A8" s="174" t="str">
        <x:v>Rigor metodológico</x:v>
      </x:c>
      <x:c r="B8" s="164" t="str">
        <x:v>Trazabilidad de la evidencia, documentación, revisión y estándares.</x:v>
      </x:c>
      <x:c r="C8" s="164" t="str">
        <x:v>Afirmaciones sin método</x:v>
      </x:c>
      <x:c r="D8" s="164" t="str">
        <x:v>Método explícito y reproducible</x:v>
      </x:c>
      <x:c r="F8" s="184" t="str">
        <x:v>2,0–2,6</x:v>
      </x:c>
      <x:c r="G8" s="184" t="str">
        <x:v>Baja</x:v>
      </x:c>
      <x:c r="H8" s="184" t="str">
        <x:v>Útil principalmente para narrativas, declaraciones o pistas.</x:v>
      </x:c>
    </x:row>
    <x:row r="9">
      <x:c r="A9" s="174" t="str">
        <x:v>Política de correcciones</x:v>
      </x:c>
      <x:c r="B9" s="164" t="str">
        <x:v>Existencia, visibilidad y consistencia de las rectificaciones.</x:v>
      </x:c>
      <x:c r="C9" s="164" t="str">
        <x:v>No corrige o no informa</x:v>
      </x:c>
      <x:c r="D9" s="164" t="str">
        <x:v>Correcciones claras y sistemáticas</x:v>
      </x:c>
      <x:c r="F9" s="185" t="str">
        <x:v>1,0–1,9</x:v>
      </x:c>
      <x:c r="G9" s="185" t="str">
        <x:v>Muy baja</x:v>
      </x:c>
      <x:c r="H9" s="185" t="str">
        <x:v>No utilizar para confirmar hechos; solo como objeto de análisis o registro.</x:v>
      </x:c>
    </x:row>
    <x:row r="10">
      <x:c r="A10" s="175" t="str">
        <x:v>Separación noticia/opinión</x:v>
      </x:c>
      <x:c r="B10" s="165" t="str">
        <x:v>Distinción visible entre hechos, análisis, editorial y advocacy.</x:v>
      </x:c>
      <x:c r="C10" s="165" t="str">
        <x:v>Confusión sistemática</x:v>
      </x:c>
      <x:c r="D10" s="165" t="str">
        <x:v>Separación clara y etiquetada</x:v>
      </x:c>
    </x:row>
    <x:row r="13">
      <x:c r="A13" s="124" t="str">
        <x:v>Nivel de corroboración</x:v>
      </x:c>
      <x:c r="B13" s="124" t="str">
        <x:v>Cuándo se aplica</x:v>
      </x:c>
      <x:c r="C13" s="124" t="str">
        <x:v>Regla mínima</x:v>
      </x:c>
      <x:c r="D13" s="124" t="str">
        <x:v>Ejemplos</x:v>
      </x:c>
      <x:c r="F13" s="201" t="str">
        <x:v>Paso</x:v>
      </x:c>
      <x:c r="G13" s="201" t="str">
        <x:v>Pregunta operativa</x:v>
      </x:c>
      <x:c r="H13" s="201" t="str">
        <x:v>Resultado esperado</x:v>
      </x:c>
    </x:row>
    <x:row r="14">
      <x:c r="A14" s="193" t="str">
        <x:v>Baja</x:v>
      </x:c>
      <x:c r="B14" s="184" t="str">
        <x:v>Datos técnicos o hechos rutinarios de fuente muy sólida.</x:v>
      </x:c>
      <x:c r="C14" s="184" t="str">
        <x:v>Una fuente primaria sólida; comprobar fecha y definición.</x:v>
      </x:c>
      <x:c r="D14" s="184" t="str">
        <x:v>OIEA, EIA, Reuters/AP.</x:v>
      </x:c>
      <x:c r="F14" s="207" t="str">
        <x:v>1</x:v>
      </x:c>
      <x:c r="G14" s="184" t="str">
        <x:v>¿Qué afirmación concreta debe verificarse?</x:v>
      </x:c>
      <x:c r="H14" s="184" t="str">
        <x:v>Separar hechos, interpretación y predicción.</x:v>
      </x:c>
    </x:row>
    <x:row r="15">
      <x:c r="A15" s="193" t="str">
        <x:v>Moderada</x:v>
      </x:c>
      <x:c r="B15" s="184" t="str">
        <x:v>Análisis, contexto, primicias o información local.</x:v>
      </x:c>
      <x:c r="C15" s="184" t="str">
        <x:v>Dos fuentes, al menos una independiente o primaria.</x:v>
      </x:c>
      <x:c r="D15" s="184" t="str">
        <x:v>Prensa generalista, think tanks.</x:v>
      </x:c>
      <x:c r="F15" s="207" t="str">
        <x:v>2</x:v>
      </x:c>
      <x:c r="G15" s="184" t="str">
        <x:v>¿Qué tipo de fuente la publica?</x:v>
      </x:c>
      <x:c r="H15" s="184" t="str">
        <x:v>Identificar agencia, opinión, Estado, OSINT, academia o advocacy.</x:v>
      </x:c>
    </x:row>
    <x:row r="16">
      <x:c r="A16" s="193" t="str">
        <x:v>Alta</x:v>
      </x:c>
      <x:c r="B16" s="184" t="str">
        <x:v>Conflictos, filtraciones, advocacy o fuerte perspectiva editorial.</x:v>
      </x:c>
      <x:c r="C16" s="184" t="str">
        <x:v>Dos fuentes independientes + evidencia primaria cuando exista.</x:v>
      </x:c>
      <x:c r="D16" s="184" t="str">
        <x:v>MEE, Intercept, DD. HH., medios regulados.</x:v>
      </x:c>
      <x:c r="F16" s="207" t="str">
        <x:v>3</x:v>
      </x:c>
      <x:c r="G16" s="184" t="str">
        <x:v>¿La fuente tiene acceso directo y muestra evidencia?</x:v>
      </x:c>
      <x:c r="H16" s="184" t="str">
        <x:v>Localizar documento, imagen, dato, testimonio o metodología.</x:v>
      </x:c>
    </x:row>
    <x:row r="17">
      <x:c r="A17" s="194" t="str">
        <x:v>Obligatoria</x:v>
      </x:c>
      <x:c r="B17" s="185" t="str">
        <x:v>Fuentes estatales, comandos militares o partes beligerantes.</x:v>
      </x:c>
      <x:c r="C17" s="185" t="str">
        <x:v>No confirmar el hecho con la propia parte; buscar evidencia externa.</x:v>
      </x:c>
      <x:c r="D17" s="185" t="str">
        <x:v>TASS, CGTN, CENTCOM.</x:v>
      </x:c>
      <x:c r="F17" s="207" t="str">
        <x:v>4</x:v>
      </x:c>
      <x:c r="G17" s="184" t="str">
        <x:v>¿Qué incentivos o limitaciones institucionales existen?</x:v>
      </x:c>
      <x:c r="H17" s="184" t="str">
        <x:v>Registrar propiedad, financiación, control y perspectiva.</x:v>
      </x:c>
    </x:row>
    <x:row r="18">
      <x:c r="F18" s="207" t="str">
        <x:v>5</x:v>
      </x:c>
      <x:c r="G18" s="184" t="str">
        <x:v>¿Qué fuentes independientes pueden triangularla?</x:v>
      </x:c>
      <x:c r="H18" s="184" t="str">
        <x:v>Buscar confirmación y perspectivas contrapuestas.</x:v>
      </x:c>
    </x:row>
    <x:row r="19">
      <x:c r="F19" s="208" t="str">
        <x:v>6</x:v>
      </x:c>
      <x:c r="G19" s="185" t="str">
        <x:v>¿Qué incertidumbre permanece?</x:v>
      </x:c>
      <x:c r="H19" s="185" t="str">
        <x:v>Expresar grado de confianza y aspectos no verificados.</x:v>
      </x:c>
    </x:row>
    <x:row r="21">
      <x:c r="A21" s="214" t="str">
        <x:v>Referencias institucionales y metodológicas</x:v>
      </x:c>
      <x:c r="B21" s="214"/>
      <x:c r="C21" s="214"/>
      <x:c r="D21" s="214"/>
      <x:c r="E21" s="214"/>
      <x:c r="F21" s="214"/>
      <x:c r="G21" s="214"/>
      <x:c r="H21" s="214"/>
    </x:row>
    <x:row r="22">
      <x:c r="A22" s="217" t="str">
        <x:v>Reuters Trust Principles</x:v>
      </x:c>
      <x:c r="B22" s="219" t="str">
        <x:v>https://www.thomsonreuters.com/en/about-us/trust-principles.html</x:v>
      </x:c>
      <x:c r="D22" s="241" t="str">
        <x:v>Mantenimiento recomendado:
• Revisar la matriz cada seis meses o después de cambios de propiedad, dirección editorial, regulación o desempeño grave.
• No modificar una puntuación por un solo artículo: documentar patrones, correcciones, evidencia y contexto.
• Registrar las ediciones lingüísticas por separado cuando tengan líneas editoriales diferentes.
• Para conflictos activos, conservar capturas, fechas y enlaces a la evidencia primaria.</x:v>
      </x:c>
      <x:c r="E22" s="242"/>
      <x:c r="F22" s="242"/>
      <x:c r="G22" s="242"/>
      <x:c r="H22" s="243"/>
    </x:row>
    <x:row r="23">
      <x:c r="A23" s="217" t="str">
        <x:v>BBC Charter and Governance</x:v>
      </x:c>
      <x:c r="B23" s="219" t="str">
        <x:v>https://www.bbc.com/aboutthebbc/governance/charter</x:v>
      </x:c>
      <x:c r="D23" s="244"/>
      <x:c r="E23" s="245"/>
      <x:c r="F23" s="245"/>
      <x:c r="G23" s="245"/>
      <x:c r="H23" s="246"/>
    </x:row>
    <x:row r="24">
      <x:c r="A24" s="217" t="str">
        <x:v>NewsGuard Rating Process and Criteria</x:v>
      </x:c>
      <x:c r="B24" s="219" t="str">
        <x:v>https://www.newsguardtech.com/ratings/rating-process-criteria/</x:v>
      </x:c>
      <x:c r="D24" s="244"/>
      <x:c r="E24" s="245"/>
      <x:c r="F24" s="245"/>
      <x:c r="G24" s="245"/>
      <x:c r="H24" s="246"/>
    </x:row>
    <x:row r="25">
      <x:c r="A25" s="217" t="str">
        <x:v>Media Bias/Fact Check Methodology</x:v>
      </x:c>
      <x:c r="B25" s="219" t="str">
        <x:v>https://mediabiasfactcheck.com/methodology/</x:v>
      </x:c>
      <x:c r="D25" s="244"/>
      <x:c r="E25" s="245"/>
      <x:c r="F25" s="245"/>
      <x:c r="G25" s="245"/>
      <x:c r="H25" s="246"/>
    </x:row>
    <x:row r="26">
      <x:c r="A26" s="217" t="str">
        <x:v>Al Jazeera – About Us</x:v>
      </x:c>
      <x:c r="B26" s="219" t="str">
        <x:v>https://www.aljazeera.com/about-us</x:v>
      </x:c>
      <x:c r="D26" s="244"/>
      <x:c r="E26" s="245"/>
      <x:c r="F26" s="245"/>
      <x:c r="G26" s="245"/>
      <x:c r="H26" s="246"/>
    </x:row>
    <x:row r="27">
      <x:c r="A27" s="217" t="str">
        <x:v>Arms Control Association – About</x:v>
      </x:c>
      <x:c r="B27" s="219" t="str">
        <x:v>https://www.armscontrol.org/about</x:v>
      </x:c>
      <x:c r="D27" s="244"/>
      <x:c r="E27" s="245"/>
      <x:c r="F27" s="245"/>
      <x:c r="G27" s="245"/>
      <x:c r="H27" s="246"/>
    </x:row>
    <x:row r="28">
      <x:c r="A28" s="217" t="str">
        <x:v>United Nations – About Us</x:v>
      </x:c>
      <x:c r="B28" s="219" t="str">
        <x:v>https://www.un.org/en/about-us</x:v>
      </x:c>
      <x:c r="D28" s="244"/>
      <x:c r="E28" s="245"/>
      <x:c r="F28" s="245"/>
      <x:c r="G28" s="245"/>
      <x:c r="H28" s="246"/>
    </x:row>
    <x:row r="29">
      <x:c r="A29" s="221" t="str">
        <x:v>IAEA and the UN system</x:v>
      </x:c>
      <x:c r="B29" s="222" t="str">
        <x:v>https://www.iaea.org/about/partnerships/united-nations-system</x:v>
      </x:c>
      <x:c r="D29" s="247"/>
      <x:c r="E29" s="248"/>
      <x:c r="F29" s="248"/>
      <x:c r="G29" s="248"/>
      <x:c r="H29" s="249"/>
    </x:row>
  </x:sheetData>
  <x:mergeCells>
    <x:mergeCell ref="A1:H1"/>
    <x:mergeCell ref="A2:H2"/>
    <x:mergeCell ref="A21:H21"/>
    <x:mergeCell ref="D22:H2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2" hidden="0" customWidth="1"/>
    <x:col min="3" max="3" width="18" hidden="0" customWidth="1"/>
    <x:col min="4" max="4" width="18" hidden="0" customWidth="1"/>
    <x:col min="5" max="5" width="18" hidden="0" customWidth="1"/>
    <x:col min="6" max="6" width="2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8" max="18" width="34" hidden="0" customWidth="1"/>
  </x:cols>
  <x:sheetData>
    <x:row r="1">
      <x:c r="A1" s="283" t="str">
        <x:v>Nombre del Medio</x:v>
      </x:c>
      <x:c r="B1" s="283" t="str">
        <x:v>Sitio Web (URL)</x:v>
      </x:c>
      <x:c r="C1" s="283" t="str">
        <x:v>País</x:v>
      </x:c>
      <x:c r="D1" s="283" t="str">
        <x:v>Grupo Comet</x:v>
      </x:c>
      <x:c r="E1" s="283" t="str">
        <x:v>Región Principal</x:v>
      </x:c>
      <x:c r="F1" s="283" t="str">
        <x:v>Tipo de Fuente</x:v>
      </x:c>
      <x:c r="G1" s="283" t="str">
        <x:v>Sesgo (Bias)</x:v>
      </x:c>
      <x:c r="H1" s="283" t="str">
        <x:v>Credibilidad</x:v>
      </x:c>
      <x:c r="I1" s="283" t="str">
        <x:v>Indep.</x:v>
      </x:c>
      <x:c r="J1" s="283" t="str">
        <x:v>general</x:v>
      </x:c>
      <x:c r="K1" s="283" t="str">
        <x:v>Invest. general</x:v>
      </x:c>
      <x:c r="L1" s="283" t="str">
        <x:v>Opinión</x:v>
      </x:c>
      <x:c r="M1" s="283" t="str">
        <x:v>Medio Oriente</x:v>
      </x:c>
      <x:c r="N1" s="283" t="str">
        <x:v>Occidente</x:v>
      </x:c>
      <x:c r="O1" s="283" t="str">
        <x:v>Asia</x:v>
      </x:c>
      <x:c r="P1" s="283" t="str">
        <x:v>Orga</x:v>
      </x:c>
      <x:c r="R1" s="286" t="str">
        <x:v>Copia de la base recibida. Se corrigió únicamente la identificación y clasificación de Shakuf (shakuf.co.il).</x:v>
      </x:c>
    </x:row>
    <x:row r="2">
      <x:c r="A2" s="50" t="str">
        <x:v>MAINSTREAM – OCCIDENTE</x:v>
      </x:c>
      <x:c r="B2" s="50"/>
      <x:c r="C2" s="50"/>
      <x:c r="D2" s="50"/>
      <x:c r="E2" s="50"/>
      <x:c r="F2" s="50"/>
      <x:c r="G2" s="50"/>
      <x:c r="H2" s="50"/>
      <x:c r="I2" s="50"/>
      <x:c r="J2" s="50"/>
      <x:c r="K2" s="50"/>
      <x:c r="L2" s="50"/>
      <x:c r="M2" s="50"/>
      <x:c r="N2" s="50"/>
      <x:c r="O2" s="50"/>
      <x:c r="P2" s="50"/>
    </x:row>
    <x:row r="3">
      <x:c r="A3" s="50" t="str">
        <x:v>Axios</x:v>
      </x:c>
      <x:c r="B3" s="50" t="str">
        <x:v>http://axios.com/</x:v>
      </x:c>
      <x:c r="C3" s="50" t="str">
        <x:v>Estados Unidos</x:v>
      </x:c>
      <x:c r="D3" s="50" t="str">
        <x:v>Mainstream – Occidente</x:v>
      </x:c>
      <x:c r="E3" s="50" t="str">
        <x:v>Occidente</x:v>
      </x:c>
      <x:c r="F3" s="50" t="str">
        <x:v>Prensa generalista mainstream</x:v>
      </x:c>
      <x:c r="G3" s="50" t="str">
        <x:v>Centro</x:v>
      </x:c>
      <x:c r="H3" s="50" t="str">
        <x:v>Alta</x:v>
      </x:c>
      <x:c r="I3" s="50"/>
      <x:c r="J3" s="50" t="str">
        <x:v>x</x:v>
      </x:c>
      <x:c r="K3" s="50"/>
      <x:c r="L3" s="50"/>
      <x:c r="M3" s="50"/>
      <x:c r="N3" s="50"/>
      <x:c r="O3" s="50"/>
      <x:c r="P3" s="50"/>
    </x:row>
    <x:row r="4">
      <x:c r="A4" s="50" t="str">
        <x:v>BBC</x:v>
      </x:c>
      <x:c r="B4" s="50" t="str">
        <x:v>http://bbc.com/</x:v>
      </x:c>
      <x:c r="C4" s="50" t="str">
        <x:v>Reino Unido</x:v>
      </x:c>
      <x:c r="D4" s="50" t="str">
        <x:v>Mainstream – Occidente</x:v>
      </x:c>
      <x:c r="E4" s="50" t="str">
        <x:v>Occidente</x:v>
      </x:c>
      <x:c r="F4" s="50" t="str">
        <x:v>Prensa generalista mainstream</x:v>
      </x:c>
      <x:c r="G4" s="50" t="str">
        <x:v>Centro</x:v>
      </x:c>
      <x:c r="H4" s="50" t="str">
        <x:v>Alta</x:v>
      </x:c>
      <x:c r="I4" s="50"/>
      <x:c r="J4" s="50" t="str">
        <x:v>x</x:v>
      </x:c>
      <x:c r="K4" s="50"/>
      <x:c r="L4" s="50"/>
      <x:c r="M4" s="50"/>
      <x:c r="N4" s="50"/>
      <x:c r="O4" s="50"/>
      <x:c r="P4" s="50"/>
    </x:row>
    <x:row r="5">
      <x:c r="A5" s="50" t="str">
        <x:v>El País</x:v>
      </x:c>
      <x:c r="B5" s="50" t="str">
        <x:v>http://elpais.com/</x:v>
      </x:c>
      <x:c r="C5" s="50" t="str">
        <x:v>España</x:v>
      </x:c>
      <x:c r="D5" s="50" t="str">
        <x:v>Mainstream – Occidente</x:v>
      </x:c>
      <x:c r="E5" s="50" t="str">
        <x:v>Occidente</x:v>
      </x:c>
      <x:c r="F5" s="50" t="str">
        <x:v>Prensa generalista mainstream</x:v>
      </x:c>
      <x:c r="G5" s="50" t="str">
        <x:v>Centro-Izquierda</x:v>
      </x:c>
      <x:c r="H5" s="50" t="str">
        <x:v>Alta</x:v>
      </x:c>
      <x:c r="I5" s="50"/>
      <x:c r="J5" s="50" t="str">
        <x:v>x</x:v>
      </x:c>
      <x:c r="K5" s="50"/>
      <x:c r="L5" s="50"/>
      <x:c r="M5" s="50"/>
      <x:c r="N5" s="50"/>
      <x:c r="O5" s="50"/>
      <x:c r="P5" s="50"/>
    </x:row>
    <x:row r="6">
      <x:c r="A6" s="50" t="str">
        <x:v>La Nación (Argentina)</x:v>
      </x:c>
      <x:c r="B6" s="50" t="str">
        <x:v>http://lanacion.com.ar/</x:v>
      </x:c>
      <x:c r="C6" s="50" t="str">
        <x:v>Argentina</x:v>
      </x:c>
      <x:c r="D6" s="50" t="str">
        <x:v>Mainstream – Occidente</x:v>
      </x:c>
      <x:c r="E6" s="50" t="str">
        <x:v>Occidente</x:v>
      </x:c>
      <x:c r="F6" s="50" t="str">
        <x:v>Prensa generalista mainstream</x:v>
      </x:c>
      <x:c r="G6" s="50" t="str">
        <x:v>Centro-Derecha</x:v>
      </x:c>
      <x:c r="H6" s="50" t="str">
        <x:v>Alta</x:v>
      </x:c>
      <x:c r="I6" s="50"/>
      <x:c r="J6" s="50" t="str">
        <x:v>x</x:v>
      </x:c>
      <x:c r="K6" s="50"/>
      <x:c r="L6" s="50"/>
      <x:c r="M6" s="50"/>
      <x:c r="N6" s="50"/>
      <x:c r="O6" s="50"/>
      <x:c r="P6" s="50"/>
    </x:row>
    <x:row r="7">
      <x:c r="A7" s="50" t="str">
        <x:v>La Vanguardia</x:v>
      </x:c>
      <x:c r="B7" s="50" t="str">
        <x:v>http://lavanguardia.com/</x:v>
      </x:c>
      <x:c r="C7" s="50" t="str">
        <x:v>España</x:v>
      </x:c>
      <x:c r="D7" s="50" t="str">
        <x:v>Mainstream – Occidente</x:v>
      </x:c>
      <x:c r="E7" s="50" t="str">
        <x:v>Occidente</x:v>
      </x:c>
      <x:c r="F7" s="50" t="str">
        <x:v>Prensa generalista mainstream</x:v>
      </x:c>
      <x:c r="G7" s="50" t="str">
        <x:v>Centro</x:v>
      </x:c>
      <x:c r="H7" s="50" t="str">
        <x:v>Alta</x:v>
      </x:c>
      <x:c r="I7" s="50"/>
      <x:c r="J7" s="50" t="str">
        <x:v>x</x:v>
      </x:c>
      <x:c r="K7" s="50"/>
      <x:c r="L7" s="50"/>
      <x:c r="M7" s="50"/>
      <x:c r="N7" s="50"/>
      <x:c r="O7" s="50"/>
      <x:c r="P7" s="50"/>
    </x:row>
    <x:row r="8">
      <x:c r="A8" s="50" t="str">
        <x:v>NBC News</x:v>
      </x:c>
      <x:c r="B8" s="50" t="str">
        <x:v>http://nbcnews.com/</x:v>
      </x:c>
      <x:c r="C8" s="50" t="str">
        <x:v>Estados Unidos</x:v>
      </x:c>
      <x:c r="D8" s="50" t="str">
        <x:v>Mainstream – Occidente</x:v>
      </x:c>
      <x:c r="E8" s="50" t="str">
        <x:v>Occidente</x:v>
      </x:c>
      <x:c r="F8" s="50" t="str">
        <x:v>Prensa generalista mainstream</x:v>
      </x:c>
      <x:c r="G8" s="50" t="str">
        <x:v>Centro-Izquierda</x:v>
      </x:c>
      <x:c r="H8" s="50" t="str">
        <x:v>Alta</x:v>
      </x:c>
      <x:c r="I8" s="50"/>
      <x:c r="J8" s="50" t="str">
        <x:v>x</x:v>
      </x:c>
      <x:c r="K8" s="50"/>
      <x:c r="L8" s="50"/>
      <x:c r="M8" s="50"/>
      <x:c r="N8" s="50"/>
      <x:c r="O8" s="50"/>
      <x:c r="P8" s="50"/>
    </x:row>
    <x:row r="9">
      <x:c r="A9" s="50" t="str">
        <x:v>Politico</x:v>
      </x:c>
      <x:c r="B9" s="50" t="str">
        <x:v>http://politico.com/</x:v>
      </x:c>
      <x:c r="C9" s="50" t="str">
        <x:v>Estados Unidos</x:v>
      </x:c>
      <x:c r="D9" s="50" t="str">
        <x:v>Mainstream – Occidente</x:v>
      </x:c>
      <x:c r="E9" s="50" t="str">
        <x:v>Occidente</x:v>
      </x:c>
      <x:c r="F9" s="50" t="str">
        <x:v>Prensa generalista mainstream</x:v>
      </x:c>
      <x:c r="G9" s="50" t="str">
        <x:v>Centro</x:v>
      </x:c>
      <x:c r="H9" s="50" t="str">
        <x:v>Alta</x:v>
      </x:c>
      <x:c r="I9" s="50"/>
      <x:c r="J9" s="50" t="str">
        <x:v>x</x:v>
      </x:c>
      <x:c r="K9" s="50"/>
      <x:c r="L9" s="50"/>
      <x:c r="M9" s="50"/>
      <x:c r="N9" s="50"/>
      <x:c r="O9" s="50"/>
      <x:c r="P9" s="50"/>
    </x:row>
    <x:row r="10">
      <x:c r="A10" s="50" t="str">
        <x:v>Reuters</x:v>
      </x:c>
      <x:c r="B10" s="50" t="str">
        <x:v>http://reuters.com/</x:v>
      </x:c>
      <x:c r="C10" s="50" t="str">
        <x:v>Reino Unido</x:v>
      </x:c>
      <x:c r="D10" s="50" t="str">
        <x:v>Mainstream – Occidente</x:v>
      </x:c>
      <x:c r="E10" s="50" t="str">
        <x:v>Occidente</x:v>
      </x:c>
      <x:c r="F10" s="50" t="str">
        <x:v>Agencia de noticias internacional</x:v>
      </x:c>
      <x:c r="G10" s="50" t="str">
        <x:v>Centro</x:v>
      </x:c>
      <x:c r="H10" s="50" t="str">
        <x:v>Alta</x:v>
      </x:c>
      <x:c r="I10" s="50"/>
      <x:c r="J10" s="50" t="str">
        <x:v>x</x:v>
      </x:c>
      <x:c r="K10" s="50"/>
      <x:c r="L10" s="50"/>
      <x:c r="M10" s="50"/>
      <x:c r="N10" s="50"/>
      <x:c r="O10" s="50"/>
      <x:c r="P10" s="50"/>
    </x:row>
    <x:row r="11">
      <x:c r="A11" s="50" t="str">
        <x:v>The Guardian</x:v>
      </x:c>
      <x:c r="B11" s="50" t="str">
        <x:v>http://theguardian.com/</x:v>
      </x:c>
      <x:c r="C11" s="50" t="str">
        <x:v>Reino Unido</x:v>
      </x:c>
      <x:c r="D11" s="50" t="str">
        <x:v>Mainstream – Occidente</x:v>
      </x:c>
      <x:c r="E11" s="50" t="str">
        <x:v>Occidente</x:v>
      </x:c>
      <x:c r="F11" s="50" t="str">
        <x:v>Prensa generalista mainstream</x:v>
      </x:c>
      <x:c r="G11" s="50" t="str">
        <x:v>Centro-Izquierda</x:v>
      </x:c>
      <x:c r="H11" s="50" t="str">
        <x:v>Alta</x:v>
      </x:c>
      <x:c r="I11" s="50"/>
      <x:c r="J11" s="50" t="str">
        <x:v>x</x:v>
      </x:c>
      <x:c r="K11" s="50"/>
      <x:c r="L11" s="50"/>
      <x:c r="M11" s="50"/>
      <x:c r="N11" s="50"/>
      <x:c r="O11" s="50"/>
      <x:c r="P11" s="50"/>
    </x:row>
    <x:row r="12">
      <x:c r="A12" s="50" t="str">
        <x:v>The New York Times</x:v>
      </x:c>
      <x:c r="B12" s="50" t="str">
        <x:v>http://nytimes.com/</x:v>
      </x:c>
      <x:c r="C12" s="50" t="str">
        <x:v>Estados Unidos</x:v>
      </x:c>
      <x:c r="D12" s="50" t="str">
        <x:v>Mainstream – Occidente</x:v>
      </x:c>
      <x:c r="E12" s="50" t="str">
        <x:v>Occidente</x:v>
      </x:c>
      <x:c r="F12" s="50" t="str">
        <x:v>Prensa generalista mainstream</x:v>
      </x:c>
      <x:c r="G12" s="50" t="str">
        <x:v>Centro-Izquierda</x:v>
      </x:c>
      <x:c r="H12" s="50" t="str">
        <x:v>Alta</x:v>
      </x:c>
      <x:c r="I12" s="50"/>
      <x:c r="J12" s="50" t="str">
        <x:v>x</x:v>
      </x:c>
      <x:c r="K12" s="50"/>
      <x:c r="L12" s="50"/>
      <x:c r="M12" s="50"/>
      <x:c r="N12" s="50"/>
      <x:c r="O12" s="50"/>
      <x:c r="P12" s="50"/>
    </x:row>
    <x:row r="13">
      <x:c r="A13" s="50" t="str">
        <x:v>The Wall Street Journal</x:v>
      </x:c>
      <x:c r="B13" s="50" t="str">
        <x:v>http://wsj.com/</x:v>
      </x:c>
      <x:c r="C13" s="50" t="str">
        <x:v>Estados Unidos</x:v>
      </x:c>
      <x:c r="D13" s="50" t="str">
        <x:v>Mainstream – Occidente</x:v>
      </x:c>
      <x:c r="E13" s="50" t="str">
        <x:v>Occidente</x:v>
      </x:c>
      <x:c r="F13" s="50" t="str">
        <x:v>Prensa generalista mainstream</x:v>
      </x:c>
      <x:c r="G13" s="50" t="str">
        <x:v>Centro-Derecha</x:v>
      </x:c>
      <x:c r="H13" s="50" t="str">
        <x:v>Alta</x:v>
      </x:c>
      <x:c r="I13" s="50"/>
      <x:c r="J13" s="50" t="str">
        <x:v>x</x:v>
      </x:c>
      <x:c r="K13" s="50"/>
      <x:c r="L13" s="50"/>
      <x:c r="M13" s="50"/>
      <x:c r="N13" s="50"/>
      <x:c r="O13" s="50"/>
      <x:c r="P13" s="50"/>
    </x:row>
    <x:row r="14">
      <x:c r="A14" s="50"/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  <x:c r="N14" s="50"/>
      <x:c r="O14" s="50"/>
      <x:c r="P14" s="50"/>
    </x:row>
    <x:row r="15">
      <x:c r="A15" s="50" t="str">
        <x:v>MAINSTREAM – MEDIO ORIENTE</x:v>
      </x:c>
      <x:c r="B15" s="50"/>
      <x:c r="C15" s="50"/>
      <x:c r="D15" s="50"/>
      <x:c r="E15" s="50"/>
      <x:c r="F15" s="50"/>
      <x:c r="G15" s="50"/>
      <x:c r="H15" s="50"/>
      <x:c r="I15" s="50"/>
      <x:c r="J15" s="50"/>
      <x:c r="K15" s="50"/>
      <x:c r="L15" s="50"/>
      <x:c r="M15" s="50"/>
      <x:c r="N15" s="50"/>
      <x:c r="O15" s="50"/>
      <x:c r="P15" s="50"/>
    </x:row>
    <x:row r="16">
      <x:c r="A16" s="50" t="str">
        <x:v>Al Jazeera</x:v>
      </x:c>
      <x:c r="B16" s="50" t="str">
        <x:v>http://aljazeera.com/</x:v>
      </x:c>
      <x:c r="C16" s="50" t="str">
        <x:v>Qatar</x:v>
      </x:c>
      <x:c r="D16" s="50" t="str">
        <x:v>Mainstream – Medio Oriente</x:v>
      </x:c>
      <x:c r="E16" s="50" t="str">
        <x:v>Medio Oriente</x:v>
      </x:c>
      <x:c r="F16" s="50" t="str">
        <x:v>Prensa regional/internacional</x:v>
      </x:c>
      <x:c r="G16" s="50" t="str">
        <x:v>Centro-Izquierda</x:v>
      </x:c>
      <x:c r="H16" s="50" t="str">
        <x:v>Alta</x:v>
      </x:c>
      <x:c r="I16" s="50"/>
      <x:c r="J16" s="50" t="str">
        <x:v>x</x:v>
      </x:c>
      <x:c r="K16" s="50"/>
      <x:c r="L16" s="50"/>
      <x:c r="M16" s="50"/>
      <x:c r="N16" s="50"/>
      <x:c r="O16" s="50"/>
      <x:c r="P16" s="50"/>
    </x:row>
    <x:row r="17">
      <x:c r="A17" s="50" t="str">
        <x:v>Channel 13 (Israel)</x:v>
      </x:c>
      <x:c r="B17" s="50" t="str">
        <x:v>http://13tv.co.il/</x:v>
      </x:c>
      <x:c r="C17" s="50" t="str">
        <x:v>Israel</x:v>
      </x:c>
      <x:c r="D17" s="50" t="str">
        <x:v>Mainstream – Medio Oriente</x:v>
      </x:c>
      <x:c r="E17" s="50" t="str">
        <x:v>Medio Oriente</x:v>
      </x:c>
      <x:c r="F17" s="50" t="str">
        <x:v>TV/Noticias nacionales</x:v>
      </x:c>
      <x:c r="G17" s="50" t="str">
        <x:v>Centro</x:v>
      </x:c>
      <x:c r="H17" s="50" t="str">
        <x:v>Alta</x:v>
      </x:c>
      <x:c r="I17" s="50"/>
      <x:c r="J17" s="50" t="str">
        <x:v>x</x:v>
      </x:c>
      <x:c r="K17" s="50"/>
      <x:c r="L17" s="50"/>
      <x:c r="M17" s="50"/>
      <x:c r="N17" s="50"/>
      <x:c r="O17" s="50"/>
      <x:c r="P17" s="50"/>
    </x:row>
    <x:row r="18">
      <x:c r="A18" s="50" t="str">
        <x:v>Gulf News</x:v>
      </x:c>
      <x:c r="B18" s="50" t="str">
        <x:v>http://gulfnews.com/</x:v>
      </x:c>
      <x:c r="C18" s="50" t="str">
        <x:v>Emiratos Árabes Unidos</x:v>
      </x:c>
      <x:c r="D18" s="50" t="str">
        <x:v>Mainstream – Medio Oriente</x:v>
      </x:c>
      <x:c r="E18" s="50" t="str">
        <x:v>Medio Oriente</x:v>
      </x:c>
      <x:c r="F18" s="50" t="str">
        <x:v>Prensa regional</x:v>
      </x:c>
      <x:c r="G18" s="50" t="str">
        <x:v>Centro</x:v>
      </x:c>
      <x:c r="H18" s="50" t="str">
        <x:v>Media</x:v>
      </x:c>
      <x:c r="I18" s="50"/>
      <x:c r="J18" s="50" t="str">
        <x:v>x</x:v>
      </x:c>
      <x:c r="K18" s="50"/>
      <x:c r="L18" s="50"/>
      <x:c r="M18" s="50"/>
      <x:c r="N18" s="50"/>
      <x:c r="O18" s="50"/>
      <x:c r="P18" s="50"/>
    </x:row>
    <x:row r="19">
      <x:c r="A19" s="50" t="str">
        <x:v>Ha-Makom</x:v>
      </x:c>
      <x:c r="B19" s="50" t="str">
        <x:v>http://ha-makom.co.il/</x:v>
      </x:c>
      <x:c r="C19" s="50" t="str">
        <x:v>Israel</x:v>
      </x:c>
      <x:c r="D19" s="50" t="str">
        <x:v>Mainstream – Medio Oriente</x:v>
      </x:c>
      <x:c r="E19" s="50" t="str">
        <x:v>Medio Oriente</x:v>
      </x:c>
      <x:c r="F19" s="50" t="str">
        <x:v>Medio crítico / reportajes</x:v>
      </x:c>
      <x:c r="G19" s="50" t="str">
        <x:v>Izquierda</x:v>
      </x:c>
      <x:c r="H19" s="50" t="str">
        <x:v>Alta</x:v>
      </x:c>
      <x:c r="I19" s="50"/>
      <x:c r="J19" s="50" t="str">
        <x:v>x</x:v>
      </x:c>
      <x:c r="K19" s="50"/>
      <x:c r="L19" s="50"/>
      <x:c r="M19" s="50"/>
      <x:c r="N19" s="50"/>
      <x:c r="O19" s="50"/>
      <x:c r="P19" s="50"/>
    </x:row>
    <x:row r="20">
      <x:c r="A20" s="50" t="str">
        <x:v>Haaretz</x:v>
      </x:c>
      <x:c r="B20" s="50" t="str">
        <x:v>http://haaretz.co.il/</x:v>
      </x:c>
      <x:c r="C20" s="50" t="str">
        <x:v>Israel</x:v>
      </x:c>
      <x:c r="D20" s="50" t="str">
        <x:v>Mainstream – Medio Oriente</x:v>
      </x:c>
      <x:c r="E20" s="50" t="str">
        <x:v>Medio Oriente</x:v>
      </x:c>
      <x:c r="F20" s="50" t="str">
        <x:v>Prensa regional</x:v>
      </x:c>
      <x:c r="G20" s="50" t="str">
        <x:v>Izquierda</x:v>
      </x:c>
      <x:c r="H20" s="50" t="str">
        <x:v>Alta</x:v>
      </x:c>
      <x:c r="I20" s="50"/>
      <x:c r="J20" s="50" t="str">
        <x:v>x</x:v>
      </x:c>
      <x:c r="K20" s="50"/>
      <x:c r="L20" s="50"/>
      <x:c r="M20" s="50"/>
      <x:c r="N20" s="50"/>
      <x:c r="O20" s="50"/>
      <x:c r="P20" s="50"/>
    </x:row>
    <x:row r="21">
      <x:c r="A21" s="50" t="str">
        <x:v>Kan (Israel)</x:v>
      </x:c>
      <x:c r="B21" s="50" t="str">
        <x:v>http://kan.org.il/</x:v>
      </x:c>
      <x:c r="C21" s="50" t="str">
        <x:v>Israel</x:v>
      </x:c>
      <x:c r="D21" s="50" t="str">
        <x:v>Mainstream – Medio Oriente</x:v>
      </x:c>
      <x:c r="E21" s="50" t="str">
        <x:v>Medio Oriente</x:v>
      </x:c>
      <x:c r="F21" s="50" t="str">
        <x:v>TV/Noticias nacionales</x:v>
      </x:c>
      <x:c r="G21" s="50" t="str">
        <x:v>Centro</x:v>
      </x:c>
      <x:c r="H21" s="50" t="str">
        <x:v>Alta</x:v>
      </x:c>
      <x:c r="I21" s="50"/>
      <x:c r="J21" s="50" t="str">
        <x:v>x</x:v>
      </x:c>
      <x:c r="K21" s="50"/>
      <x:c r="L21" s="50"/>
      <x:c r="M21" s="50"/>
      <x:c r="N21" s="50"/>
      <x:c r="O21" s="50"/>
      <x:c r="P21" s="50"/>
    </x:row>
    <x:row r="22">
      <x:c r="A22" s="50" t="str">
        <x:v>Khaleej Times</x:v>
      </x:c>
      <x:c r="B22" s="50" t="str">
        <x:v>http://khaleejtimes.com/</x:v>
      </x:c>
      <x:c r="C22" s="50" t="str">
        <x:v>Emiratos Árabes Unidos</x:v>
      </x:c>
      <x:c r="D22" s="50" t="str">
        <x:v>Mainstream – Medio Oriente</x:v>
      </x:c>
      <x:c r="E22" s="50" t="str">
        <x:v>Medio Oriente</x:v>
      </x:c>
      <x:c r="F22" s="50" t="str">
        <x:v>Prensa regional</x:v>
      </x:c>
      <x:c r="G22" s="50" t="str">
        <x:v>Centro</x:v>
      </x:c>
      <x:c r="H22" s="50" t="str">
        <x:v>Media</x:v>
      </x:c>
      <x:c r="I22" s="50"/>
      <x:c r="J22" s="50" t="str">
        <x:v>x</x:v>
      </x:c>
      <x:c r="K22" s="50"/>
      <x:c r="L22" s="50"/>
      <x:c r="M22" s="50"/>
      <x:c r="N22" s="50"/>
      <x:c r="O22" s="50"/>
      <x:c r="P22" s="50"/>
    </x:row>
    <x:row r="23">
      <x:c r="A23" s="50" t="str">
        <x:v>Maariv</x:v>
      </x:c>
      <x:c r="B23" s="50" t="str">
        <x:v>http://maariv.co.il/</x:v>
      </x:c>
      <x:c r="C23" s="50" t="str">
        <x:v>Israel</x:v>
      </x:c>
      <x:c r="D23" s="50" t="str">
        <x:v>Mainstream – Medio Oriente</x:v>
      </x:c>
      <x:c r="E23" s="50" t="str">
        <x:v>Medio Oriente</x:v>
      </x:c>
      <x:c r="F23" s="50" t="str">
        <x:v>Prensa regional</x:v>
      </x:c>
      <x:c r="G23" s="50" t="str">
        <x:v>Centro-Derecha</x:v>
      </x:c>
      <x:c r="H23" s="50" t="str">
        <x:v>Alta</x:v>
      </x:c>
      <x:c r="I23" s="50"/>
      <x:c r="J23" s="50" t="str">
        <x:v>x</x:v>
      </x:c>
      <x:c r="K23" s="50"/>
      <x:c r="L23" s="50"/>
      <x:c r="M23" s="50"/>
      <x:c r="N23" s="50"/>
      <x:c r="O23" s="50"/>
      <x:c r="P23" s="50"/>
    </x:row>
    <x:row r="24">
      <x:c r="A24" s="50" t="str">
        <x:v>N12 (Israel)</x:v>
      </x:c>
      <x:c r="B24" s="50" t="str">
        <x:v>http://n12.co.il/</x:v>
      </x:c>
      <x:c r="C24" s="50" t="str">
        <x:v>Israel</x:v>
      </x:c>
      <x:c r="D24" s="50" t="str">
        <x:v>Mainstream – Medio Oriente</x:v>
      </x:c>
      <x:c r="E24" s="50" t="str">
        <x:v>Medio Oriente</x:v>
      </x:c>
      <x:c r="F24" s="50" t="str">
        <x:v>Portal de noticias TV</x:v>
      </x:c>
      <x:c r="G24" s="50" t="str">
        <x:v>Centro</x:v>
      </x:c>
      <x:c r="H24" s="50" t="str">
        <x:v>Alta</x:v>
      </x:c>
      <x:c r="I24" s="50"/>
      <x:c r="J24" s="50" t="str">
        <x:v>x</x:v>
      </x:c>
      <x:c r="K24" s="50"/>
      <x:c r="L24" s="50"/>
      <x:c r="M24" s="50"/>
      <x:c r="N24" s="50"/>
      <x:c r="O24" s="50"/>
      <x:c r="P24" s="50"/>
    </x:row>
    <x:row r="25">
      <x:c r="A25" s="50" t="str">
        <x:v>The Times of Israel</x:v>
      </x:c>
      <x:c r="B25" s="50" t="str">
        <x:v>http://timesofisrael.com/</x:v>
      </x:c>
      <x:c r="C25" s="50" t="str">
        <x:v>Israel</x:v>
      </x:c>
      <x:c r="D25" s="50" t="str">
        <x:v>Mainstream – Medio Oriente</x:v>
      </x:c>
      <x:c r="E25" s="50" t="str">
        <x:v>Medio Oriente</x:v>
      </x:c>
      <x:c r="F25" s="50" t="str">
        <x:v>Prensa regional</x:v>
      </x:c>
      <x:c r="G25" s="50" t="str">
        <x:v>Centro</x:v>
      </x:c>
      <x:c r="H25" s="50" t="str">
        <x:v>Alta</x:v>
      </x:c>
      <x:c r="I25" s="50"/>
      <x:c r="J25" s="50" t="str">
        <x:v>x</x:v>
      </x:c>
      <x:c r="K25" s="50"/>
      <x:c r="L25" s="50"/>
      <x:c r="M25" s="50"/>
      <x:c r="N25" s="50"/>
      <x:c r="O25" s="50"/>
      <x:c r="P25" s="50"/>
    </x:row>
    <x:row r="26">
      <x:c r="A26" s="50" t="str">
        <x:v>Ynet</x:v>
      </x:c>
      <x:c r="B26" s="50" t="str">
        <x:v>http://ynet.co.il/</x:v>
      </x:c>
      <x:c r="C26" s="50" t="str">
        <x:v>Israel</x:v>
      </x:c>
      <x:c r="D26" s="50" t="str">
        <x:v>Mainstream – Medio Oriente</x:v>
      </x:c>
      <x:c r="E26" s="50" t="str">
        <x:v>Medio Oriente</x:v>
      </x:c>
      <x:c r="F26" s="50" t="str">
        <x:v>Prensa/portal generalista</x:v>
      </x:c>
      <x:c r="G26" s="50" t="str">
        <x:v>Centro</x:v>
      </x:c>
      <x:c r="H26" s="50" t="str">
        <x:v>Alta</x:v>
      </x:c>
      <x:c r="I26" s="50"/>
      <x:c r="J26" s="50" t="str">
        <x:v>x</x:v>
      </x:c>
      <x:c r="K26" s="50"/>
      <x:c r="L26" s="50"/>
      <x:c r="M26" s="50"/>
      <x:c r="N26" s="50"/>
      <x:c r="O26" s="50"/>
      <x:c r="P26" s="50"/>
    </x:row>
    <x:row r="27">
      <x:c r="A27" s="50"/>
      <x:c r="B27" s="50"/>
      <x:c r="C27" s="50"/>
      <x:c r="D27" s="50"/>
      <x:c r="E27" s="50"/>
      <x:c r="F27" s="50"/>
      <x:c r="G27" s="50"/>
      <x:c r="H27" s="50"/>
      <x:c r="I27" s="50"/>
      <x:c r="J27" s="50"/>
      <x:c r="K27" s="50"/>
      <x:c r="L27" s="50"/>
      <x:c r="M27" s="50"/>
      <x:c r="N27" s="50"/>
      <x:c r="O27" s="50"/>
      <x:c r="P27" s="50"/>
    </x:row>
    <x:row r="28">
      <x:c r="A28" s="50" t="str">
        <x:v>THINK TANKS / ACADEMIA / JOURNALS</x:v>
      </x:c>
      <x:c r="B28" s="50"/>
      <x:c r="C28" s="50"/>
      <x:c r="D28" s="50"/>
      <x:c r="E28" s="50"/>
      <x:c r="F28" s="50"/>
      <x:c r="G28" s="50"/>
      <x:c r="H28" s="50"/>
      <x:c r="I28" s="50"/>
      <x:c r="J28" s="50"/>
      <x:c r="K28" s="50"/>
      <x:c r="L28" s="50"/>
      <x:c r="M28" s="50"/>
      <x:c r="N28" s="50"/>
      <x:c r="O28" s="50"/>
      <x:c r="P28" s="50"/>
    </x:row>
    <x:row r="29">
      <x:c r="A29" s="50" t="str">
        <x:v>Chatham House</x:v>
      </x:c>
      <x:c r="B29" s="50" t="str">
        <x:v>http://chathamhouse.org/</x:v>
      </x:c>
      <x:c r="C29" s="50" t="str">
        <x:v>Reino Unido</x:v>
      </x:c>
      <x:c r="D29" s="50" t="str">
        <x:v>Think tanks / Academia / Journals</x:v>
      </x:c>
      <x:c r="E29" s="50" t="str">
        <x:v>Global/Occidente</x:v>
      </x:c>
      <x:c r="F29" s="50" t="str">
        <x:v>Think tank</x:v>
      </x:c>
      <x:c r="G29" s="50"/>
      <x:c r="H29" s="50"/>
      <x:c r="I29" s="50"/>
      <x:c r="J29" s="50"/>
      <x:c r="K29" s="50" t="str">
        <x:v>x</x:v>
      </x:c>
      <x:c r="L29" s="50" t="str">
        <x:v>x</x:v>
      </x:c>
      <x:c r="M29" s="50"/>
      <x:c r="N29" s="50" t="str">
        <x:v>x</x:v>
      </x:c>
      <x:c r="O29" s="50"/>
      <x:c r="P29" s="50"/>
    </x:row>
    <x:row r="30">
      <x:c r="A30" s="50" t="str">
        <x:v>ECFR</x:v>
      </x:c>
      <x:c r="B30" s="50" t="str">
        <x:v>http://ecfr.eu/</x:v>
      </x:c>
      <x:c r="C30" s="50" t="str">
        <x:v>Reino Unido / Bélgica</x:v>
      </x:c>
      <x:c r="D30" s="50" t="str">
        <x:v>Think tanks / Academia / Journals</x:v>
      </x:c>
      <x:c r="E30" s="50" t="str">
        <x:v>Europa</x:v>
      </x:c>
      <x:c r="F30" s="50" t="str">
        <x:v>Think tank</x:v>
      </x:c>
      <x:c r="G30" s="50"/>
      <x:c r="H30" s="50"/>
      <x:c r="I30" s="50"/>
      <x:c r="J30" s="50"/>
      <x:c r="K30" s="50" t="str">
        <x:v>x</x:v>
      </x:c>
      <x:c r="L30" s="50" t="str">
        <x:v>x</x:v>
      </x:c>
      <x:c r="M30" s="50"/>
      <x:c r="N30" s="50" t="str">
        <x:v>x</x:v>
      </x:c>
      <x:c r="O30" s="50"/>
      <x:c r="P30" s="50"/>
    </x:row>
    <x:row r="31">
      <x:c r="A31" s="50" t="str">
        <x:v>EJIL</x:v>
      </x:c>
      <x:c r="B31" s="50" t="str">
        <x:v>http://ejil.org/</x:v>
      </x:c>
      <x:c r="C31" s="50" t="str">
        <x:v>Europa</x:v>
      </x:c>
      <x:c r="D31" s="50" t="str">
        <x:v>Think tanks / Academia / Journals</x:v>
      </x:c>
      <x:c r="E31" s="50" t="str">
        <x:v>Global/Occidente</x:v>
      </x:c>
      <x:c r="F31" s="50" t="str">
        <x:v>Revista académica de derecho</x:v>
      </x:c>
      <x:c r="G31" s="50"/>
      <x:c r="H31" s="50"/>
      <x:c r="I31" s="50"/>
      <x:c r="J31" s="50" t="str">
        <x:v>x</x:v>
      </x:c>
      <x:c r="K31" s="50"/>
      <x:c r="L31" s="50"/>
      <x:c r="M31" s="50"/>
      <x:c r="N31" s="50" t="str">
        <x:v>x</x:v>
      </x:c>
      <x:c r="O31" s="50"/>
      <x:c r="P31" s="50"/>
    </x:row>
    <x:row r="32">
      <x:c r="A32" s="50" t="str">
        <x:v>Eurasia Group</x:v>
      </x:c>
      <x:c r="B32" s="50" t="str">
        <x:v>https://www.eurasiagroup.net/</x:v>
      </x:c>
      <x:c r="C32" s="50" t="str">
        <x:v>Estados Unidos</x:v>
      </x:c>
      <x:c r="D32" s="50" t="str">
        <x:v>Think tanks / Academia / Journals</x:v>
      </x:c>
      <x:c r="E32" s="50" t="str">
        <x:v>USA</x:v>
      </x:c>
      <x:c r="F32" s="50" t="str">
        <x:v>Consultoría de riesgo geopolítico</x:v>
      </x:c>
      <x:c r="G32" s="50"/>
      <x:c r="H32" s="50"/>
      <x:c r="I32" s="50"/>
      <x:c r="J32" s="50"/>
      <x:c r="K32" s="50"/>
      <x:c r="L32" s="50" t="str">
        <x:v>x</x:v>
      </x:c>
      <x:c r="M32" s="50"/>
      <x:c r="N32" s="50" t="str">
        <x:v>x</x:v>
      </x:c>
      <x:c r="O32" s="50"/>
      <x:c r="P32" s="50"/>
    </x:row>
    <x:row r="33">
      <x:c r="A33" s="50" t="str">
        <x:v>IISS</x:v>
      </x:c>
      <x:c r="B33" s="50" t="str">
        <x:v>http://iiss.org/</x:v>
      </x:c>
      <x:c r="C33" s="50" t="str">
        <x:v>Reino Unido</x:v>
      </x:c>
      <x:c r="D33" s="50" t="str">
        <x:v>Think tanks / Academia / Journals</x:v>
      </x:c>
      <x:c r="E33" s="50" t="str">
        <x:v>Global/Occidente</x:v>
      </x:c>
      <x:c r="F33" s="50" t="str">
        <x:v>Think tank</x:v>
      </x:c>
      <x:c r="G33" s="50"/>
      <x:c r="H33" s="50"/>
      <x:c r="I33" s="50"/>
      <x:c r="J33" s="50"/>
      <x:c r="K33" s="50" t="str">
        <x:v>x</x:v>
      </x:c>
      <x:c r="L33" s="50" t="str">
        <x:v>x</x:v>
      </x:c>
      <x:c r="M33" s="50"/>
      <x:c r="N33" s="50" t="str">
        <x:v>x</x:v>
      </x:c>
      <x:c r="O33" s="50"/>
      <x:c r="P33" s="50"/>
    </x:row>
    <x:row r="34">
      <x:c r="A34" s="50" t="str">
        <x:v>INSS</x:v>
      </x:c>
      <x:c r="B34" s="50" t="str">
        <x:v>http://inss.org.il/</x:v>
      </x:c>
      <x:c r="C34" s="50" t="str">
        <x:v>Israel</x:v>
      </x:c>
      <x:c r="D34" s="50" t="str">
        <x:v>Think tanks / Academia / Journals</x:v>
      </x:c>
      <x:c r="E34" s="50" t="str">
        <x:v>Medio Oriente</x:v>
      </x:c>
      <x:c r="F34" s="50" t="str">
        <x:v>Think tank</x:v>
      </x:c>
      <x:c r="G34" s="50"/>
      <x:c r="H34" s="50"/>
      <x:c r="I34" s="50"/>
      <x:c r="J34" s="50"/>
      <x:c r="K34" s="50" t="str">
        <x:v>x</x:v>
      </x:c>
      <x:c r="L34" s="50" t="str">
        <x:v>x</x:v>
      </x:c>
      <x:c r="M34" s="50" t="str">
        <x:v>x</x:v>
      </x:c>
      <x:c r="N34" s="50"/>
      <x:c r="O34" s="50"/>
      <x:c r="P34" s="50"/>
    </x:row>
    <x:row r="35">
      <x:c r="A35" s="50" t="str">
        <x:v>Le Grand Continent</x:v>
      </x:c>
      <x:c r="B35" s="50" t="str">
        <x:v>http://legrandcontinent.eu/</x:v>
      </x:c>
      <x:c r="C35" s="50" t="str">
        <x:v>France</x:v>
      </x:c>
      <x:c r="D35" s="50" t="str">
        <x:v>Think tanks / Academia / Journals</x:v>
      </x:c>
      <x:c r="E35" s="50" t="str">
        <x:v>Europa</x:v>
      </x:c>
      <x:c r="F35" s="50" t="str">
        <x:v>Revista/think tank de ideas</x:v>
      </x:c>
      <x:c r="G35" s="50"/>
      <x:c r="H35" s="50"/>
      <x:c r="I35" s="50"/>
      <x:c r="J35" s="50"/>
      <x:c r="K35" s="50"/>
      <x:c r="L35" s="50" t="str">
        <x:v>x</x:v>
      </x:c>
      <x:c r="M35" s="50"/>
      <x:c r="N35" s="50" t="str">
        <x:v>x</x:v>
      </x:c>
      <x:c r="O35" s="50"/>
      <x:c r="P35" s="50"/>
    </x:row>
    <x:row r="36">
      <x:c r="A36" s="50" t="str">
        <x:v>Long War Journal</x:v>
      </x:c>
      <x:c r="B36" s="50" t="str">
        <x:v>http://longwarjournal.org/</x:v>
      </x:c>
      <x:c r="C36" s="50" t="str">
        <x:v>Estados Unidos</x:v>
      </x:c>
      <x:c r="D36" s="50" t="str">
        <x:v>Think tanks / Academia / Journals</x:v>
      </x:c>
      <x:c r="E36" s="50" t="str">
        <x:v>Global</x:v>
      </x:c>
      <x:c r="F36" s="50" t="str">
        <x:v>Análisis de seguridad/conflictos</x:v>
      </x:c>
      <x:c r="G36" s="50"/>
      <x:c r="H36" s="50"/>
      <x:c r="I36" s="50"/>
      <x:c r="J36" s="50" t="str">
        <x:v>x</x:v>
      </x:c>
      <x:c r="K36" s="50"/>
      <x:c r="L36" s="50"/>
      <x:c r="M36" s="50"/>
      <x:c r="N36" s="50"/>
      <x:c r="O36" s="50"/>
      <x:c r="P36" s="50"/>
    </x:row>
    <x:row r="37">
      <x:c r="A37" s="50" t="str">
        <x:v>RUSI</x:v>
      </x:c>
      <x:c r="B37" s="50" t="str">
        <x:v>http://rusi.org/</x:v>
      </x:c>
      <x:c r="C37" s="50" t="str">
        <x:v>Reino Unido</x:v>
      </x:c>
      <x:c r="D37" s="50" t="str">
        <x:v>Think tanks / Academia / Journals</x:v>
      </x:c>
      <x:c r="E37" s="50" t="str">
        <x:v>Global/Occidente</x:v>
      </x:c>
      <x:c r="F37" s="50" t="str">
        <x:v>Think tank</x:v>
      </x:c>
      <x:c r="G37" s="50"/>
      <x:c r="H37" s="50"/>
      <x:c r="I37" s="50"/>
      <x:c r="J37" s="50"/>
      <x:c r="K37" s="50" t="str">
        <x:v>x</x:v>
      </x:c>
      <x:c r="L37" s="50" t="str">
        <x:v>x</x:v>
      </x:c>
      <x:c r="M37" s="50"/>
      <x:c r="N37" s="50" t="str">
        <x:v>x</x:v>
      </x:c>
      <x:c r="O37" s="50"/>
      <x:c r="P37" s="50"/>
    </x:row>
    <x:row r="38">
      <x:c r="A38" s="50" t="str">
        <x:v>Sciences Po</x:v>
      </x:c>
      <x:c r="B38" s="50" t="str">
        <x:v>http://sciencespo.fr/</x:v>
      </x:c>
      <x:c r="C38" s="50" t="str">
        <x:v>Francia</x:v>
      </x:c>
      <x:c r="D38" s="50" t="str">
        <x:v>Think tanks / Academia / Journals</x:v>
      </x:c>
      <x:c r="E38" s="50" t="str">
        <x:v>Europa</x:v>
      </x:c>
      <x:c r="F38" s="50" t="str">
        <x:v>Centro académico (CERI)</x:v>
      </x:c>
      <x:c r="G38" s="50"/>
      <x:c r="H38" s="50"/>
      <x:c r="I38" s="50"/>
      <x:c r="J38" s="50" t="str">
        <x:v>x</x:v>
      </x:c>
      <x:c r="K38" s="50"/>
      <x:c r="L38" s="50"/>
      <x:c r="M38" s="50"/>
      <x:c r="N38" s="50" t="str">
        <x:v>x</x:v>
      </x:c>
      <x:c r="O38" s="50"/>
      <x:c r="P38" s="50"/>
    </x:row>
    <x:row r="39">
      <x:c r="A39" s="50"/>
      <x:c r="B39" s="50"/>
      <x:c r="C39" s="50"/>
      <x:c r="D39" s="50"/>
      <x:c r="E39" s="50"/>
      <x:c r="F39" s="50"/>
      <x:c r="G39" s="50"/>
      <x:c r="H39" s="50"/>
      <x:c r="I39" s="50"/>
      <x:c r="J39" s="50"/>
      <x:c r="K39" s="50"/>
      <x:c r="L39" s="50"/>
      <x:c r="M39" s="50"/>
      <x:c r="N39" s="50"/>
      <x:c r="O39" s="50"/>
      <x:c r="P39" s="50"/>
    </x:row>
    <x:row r="40">
      <x:c r="A40" s="50" t="str">
        <x:v>ESTADOS Y AGENCIAS – ASIA/RUSIA</x:v>
      </x:c>
      <x:c r="B40" s="50"/>
      <x:c r="C40" s="50"/>
      <x:c r="D40" s="50"/>
      <x:c r="E40" s="50"/>
      <x:c r="F40" s="50"/>
      <x:c r="G40" s="50"/>
      <x:c r="H40" s="50"/>
      <x:c r="I40" s="50"/>
      <x:c r="J40" s="50"/>
      <x:c r="K40" s="50"/>
      <x:c r="L40" s="50"/>
      <x:c r="M40" s="50"/>
      <x:c r="N40" s="50"/>
      <x:c r="O40" s="50"/>
      <x:c r="P40" s="50"/>
    </x:row>
    <x:row r="41">
      <x:c r="A41" s="50" t="str">
        <x:v>CGTN</x:v>
      </x:c>
      <x:c r="B41" s="50" t="str">
        <x:v>http://cgtn.com/</x:v>
      </x:c>
      <x:c r="C41" s="50" t="str">
        <x:v>China</x:v>
      </x:c>
      <x:c r="D41" s="50" t="str">
        <x:v>Estados y agencias – Asia/Rusia</x:v>
      </x:c>
      <x:c r="E41" s="50" t="str">
        <x:v>Asia</x:v>
      </x:c>
      <x:c r="F41" s="50" t="str">
        <x:v>Medio estatal</x:v>
      </x:c>
      <x:c r="G41" s="50" t="str">
        <x:v>Estatal</x:v>
      </x:c>
      <x:c r="H41" s="50" t="str">
        <x:v>Baja</x:v>
      </x:c>
      <x:c r="I41" s="50"/>
      <x:c r="J41" s="50" t="str">
        <x:v>x</x:v>
      </x:c>
      <x:c r="K41" s="50"/>
      <x:c r="L41" s="50"/>
      <x:c r="M41" s="50"/>
      <x:c r="N41" s="50"/>
      <x:c r="O41" s="50"/>
      <x:c r="P41" s="50"/>
    </x:row>
    <x:row r="42">
      <x:c r="A42" s="50" t="str">
        <x:v>TASS</x:v>
      </x:c>
      <x:c r="B42" s="50" t="str">
        <x:v>http://tass.com/</x:v>
      </x:c>
      <x:c r="C42" s="50" t="str">
        <x:v>Rusia</x:v>
      </x:c>
      <x:c r="D42" s="50" t="str">
        <x:v>Estados y agencias – Asia/Rusia</x:v>
      </x:c>
      <x:c r="E42" s="50" t="str">
        <x:v>Rusia/Asia</x:v>
      </x:c>
      <x:c r="F42" s="50" t="str">
        <x:v>Agencia estatal</x:v>
      </x:c>
      <x:c r="G42" s="50" t="str">
        <x:v>Estatal</x:v>
      </x:c>
      <x:c r="H42" s="50" t="str">
        <x:v>Baja</x:v>
      </x:c>
      <x:c r="I42" s="50"/>
      <x:c r="J42" s="50" t="str">
        <x:v>x</x:v>
      </x:c>
      <x:c r="K42" s="50"/>
      <x:c r="L42" s="50"/>
      <x:c r="M42" s="50"/>
      <x:c r="N42" s="50"/>
      <x:c r="O42" s="50"/>
      <x:c r="P42" s="50"/>
    </x:row>
    <x:row r="43">
      <x:c r="A43" s="50" t="str">
        <x:v>Xinhua News Agency</x:v>
      </x:c>
      <x:c r="B43" s="50" t="str">
        <x:v>http://english.news.cn/</x:v>
      </x:c>
      <x:c r="C43" s="50" t="str">
        <x:v>China</x:v>
      </x:c>
      <x:c r="D43" s="50" t="str">
        <x:v>Estados y agencias – Asia/Rusia</x:v>
      </x:c>
      <x:c r="E43" s="50" t="str">
        <x:v>Asia</x:v>
      </x:c>
      <x:c r="F43" s="50" t="str">
        <x:v>Agencia estatal (Xinhua)</x:v>
      </x:c>
      <x:c r="G43" s="50" t="str">
        <x:v>Estatal</x:v>
      </x:c>
      <x:c r="H43" s="50" t="str">
        <x:v>Baja</x:v>
      </x:c>
      <x:c r="I43" s="50"/>
      <x:c r="J43" s="50" t="str">
        <x:v>x</x:v>
      </x:c>
      <x:c r="K43" s="50"/>
      <x:c r="L43" s="50"/>
      <x:c r="M43" s="50"/>
      <x:c r="N43" s="50"/>
      <x:c r="O43" s="50"/>
      <x:c r="P43" s="50"/>
    </x:row>
    <x:row r="44">
      <x:c r="A44" s="50"/>
      <x:c r="B44" s="50"/>
      <x:c r="C44" s="50"/>
      <x:c r="D44" s="50"/>
      <x:c r="E44" s="50"/>
      <x:c r="F44" s="50"/>
      <x:c r="G44" s="50"/>
      <x:c r="H44" s="50"/>
      <x:c r="I44" s="50"/>
      <x:c r="J44" s="50"/>
      <x:c r="K44" s="50"/>
      <x:c r="L44" s="50"/>
      <x:c r="M44" s="50"/>
      <x:c r="N44" s="50"/>
      <x:c r="O44" s="50"/>
      <x:c r="P44" s="50"/>
    </x:row>
    <x:row r="45">
      <x:c r="A45" s="50" t="str">
        <x:v>ORGANISMOS Y FUENTES OFICIALES</x:v>
      </x:c>
      <x:c r="B45" s="50"/>
      <x:c r="C45" s="50"/>
      <x:c r="D45" s="50"/>
      <x:c r="E45" s="50"/>
      <x:c r="F45" s="50"/>
      <x:c r="G45" s="50"/>
      <x:c r="H45" s="50"/>
      <x:c r="I45" s="50"/>
      <x:c r="J45" s="50"/>
      <x:c r="K45" s="50"/>
      <x:c r="L45" s="50"/>
      <x:c r="M45" s="50"/>
      <x:c r="N45" s="50"/>
      <x:c r="O45" s="50"/>
      <x:c r="P45" s="50"/>
    </x:row>
    <x:row r="46">
      <x:c r="A46" s="50" t="str">
        <x:v>Arms Control Association</x:v>
      </x:c>
      <x:c r="B46" s="50" t="str">
        <x:v>http://armscontrol.org/</x:v>
      </x:c>
      <x:c r="C46" s="50" t="str">
        <x:v>Estados Unidos</x:v>
      </x:c>
      <x:c r="D46" s="50" t="str">
        <x:v>Organismos y fuentes oficiales</x:v>
      </x:c>
      <x:c r="E46" s="50" t="str">
        <x:v>Global</x:v>
      </x:c>
      <x:c r="F46" s="50" t="str">
        <x:v>ONG especializada en control de armas</x:v>
      </x:c>
      <x:c r="G46" s="50"/>
      <x:c r="H46" s="50"/>
      <x:c r="I46" s="50"/>
      <x:c r="J46" s="50"/>
      <x:c r="K46" s="50"/>
      <x:c r="L46" s="50"/>
      <x:c r="M46" s="50"/>
      <x:c r="N46" s="50"/>
      <x:c r="O46" s="50"/>
      <x:c r="P46" s="50" t="str">
        <x:v>x</x:v>
      </x:c>
    </x:row>
    <x:row r="47">
      <x:c r="A47" s="50" t="str">
        <x:v>EIA</x:v>
      </x:c>
      <x:c r="B47" s="50" t="str">
        <x:v>http://eia.gov/</x:v>
      </x:c>
      <x:c r="C47" s="50" t="str">
        <x:v>Estados Unidos</x:v>
      </x:c>
      <x:c r="D47" s="50" t="str">
        <x:v>Organismos y fuentes oficiales</x:v>
      </x:c>
      <x:c r="E47" s="50" t="str">
        <x:v>Global/Occidente</x:v>
      </x:c>
      <x:c r="F47" s="50" t="str">
        <x:v>Agencia gubernamental EEUU (energía)</x:v>
      </x:c>
      <x:c r="G47" s="50"/>
      <x:c r="H47" s="50"/>
      <x:c r="I47" s="50"/>
      <x:c r="J47" s="50"/>
      <x:c r="K47" s="50"/>
      <x:c r="L47" s="50"/>
      <x:c r="M47" s="50"/>
      <x:c r="N47" s="50"/>
      <x:c r="O47" s="50"/>
      <x:c r="P47" s="50" t="str">
        <x:v>x</x:v>
      </x:c>
    </x:row>
    <x:row r="48">
      <x:c r="A48" s="50" t="str">
        <x:v>IAEA (OIEA)</x:v>
      </x:c>
      <x:c r="B48" s="50" t="str">
        <x:v>http://iaea.org/</x:v>
      </x:c>
      <x:c r="C48" s="50" t="str">
        <x:v>Austria</x:v>
      </x:c>
      <x:c r="D48" s="50" t="str">
        <x:v>Organismos y fuentes oficiales</x:v>
      </x:c>
      <x:c r="E48" s="50" t="str">
        <x:v>Global</x:v>
      </x:c>
      <x:c r="F48" s="50" t="str">
        <x:v>Organismo internacional (OIEA)</x:v>
      </x:c>
      <x:c r="G48" s="50"/>
      <x:c r="H48" s="50"/>
      <x:c r="I48" s="50"/>
      <x:c r="J48" s="50"/>
      <x:c r="K48" s="50"/>
      <x:c r="L48" s="50"/>
      <x:c r="M48" s="50"/>
      <x:c r="N48" s="50"/>
      <x:c r="O48" s="50"/>
      <x:c r="P48" s="50" t="str">
        <x:v>x</x:v>
      </x:c>
    </x:row>
    <x:row r="49">
      <x:c r="A49" s="50" t="str">
        <x:v>UN (ONU)</x:v>
      </x:c>
      <x:c r="B49" s="50" t="str">
        <x:v>http://un.org/</x:v>
      </x:c>
      <x:c r="C49" s="50" t="str">
        <x:v>Estados Unidos</x:v>
      </x:c>
      <x:c r="D49" s="50" t="str">
        <x:v>Organismos y fuentes oficiales</x:v>
      </x:c>
      <x:c r="E49" s="50" t="str">
        <x:v>Global</x:v>
      </x:c>
      <x:c r="F49" s="50" t="str">
        <x:v>Organismo internacional (ONU)</x:v>
      </x:c>
      <x:c r="G49" s="50"/>
      <x:c r="H49" s="50"/>
      <x:c r="I49" s="50"/>
      <x:c r="J49" s="50"/>
      <x:c r="K49" s="50"/>
      <x:c r="L49" s="50"/>
      <x:c r="M49" s="50"/>
      <x:c r="N49" s="50"/>
      <x:c r="O49" s="50"/>
      <x:c r="P49" s="50" t="str">
        <x:v>x</x:v>
      </x:c>
    </x:row>
    <x:row r="50">
      <x:c r="A50" s="50" t="str">
        <x:v>UNESCO</x:v>
      </x:c>
      <x:c r="B50" s="50" t="str">
        <x:v>http://unesco.org/</x:v>
      </x:c>
      <x:c r="C50" s="50" t="str">
        <x:v>Francia</x:v>
      </x:c>
      <x:c r="D50" s="50" t="str">
        <x:v>Organismos y fuentes oficiales</x:v>
      </x:c>
      <x:c r="E50" s="50" t="str">
        <x:v>Global</x:v>
      </x:c>
      <x:c r="F50" s="50" t="str">
        <x:v>Organismo internacional (UNESCO)</x:v>
      </x:c>
      <x:c r="G50" s="50"/>
      <x:c r="H50" s="50"/>
      <x:c r="I50" s="50"/>
      <x:c r="J50" s="50"/>
      <x:c r="K50" s="50"/>
      <x:c r="L50" s="50"/>
      <x:c r="M50" s="50"/>
      <x:c r="N50" s="50"/>
      <x:c r="O50" s="50"/>
      <x:c r="P50" s="50" t="str">
        <x:v>x</x:v>
      </x:c>
    </x:row>
    <x:row r="51">
      <x:c r="A51" s="50" t="str">
        <x:v>US CENTCOM</x:v>
      </x:c>
      <x:c r="B51" s="50" t="str">
        <x:v>centcom.mil</x:v>
      </x:c>
      <x:c r="C51" s="50" t="str">
        <x:v>Estados Unidos</x:v>
      </x:c>
      <x:c r="D51" s="50" t="str">
        <x:v>Organismos y fuentes oficiales</x:v>
      </x:c>
      <x:c r="E51" s="50" t="str">
        <x:v>Global/ME</x:v>
      </x:c>
      <x:c r="F51" s="50" t="str">
        <x:v>Comando militar EEUU (fuente oficial)</x:v>
      </x:c>
      <x:c r="G51" s="50"/>
      <x:c r="H51" s="50"/>
      <x:c r="I51" s="50"/>
      <x:c r="J51" s="50"/>
      <x:c r="K51" s="50"/>
      <x:c r="L51" s="50"/>
      <x:c r="M51" s="50"/>
      <x:c r="N51" s="50"/>
      <x:c r="O51" s="50"/>
      <x:c r="P51" s="50" t="str">
        <x:v>x</x:v>
      </x:c>
    </x:row>
    <x:row r="52">
      <x:c r="A52" s="50"/>
      <x:c r="B52" s="50"/>
      <x:c r="C52" s="50"/>
      <x:c r="D52" s="50"/>
      <x:c r="E52" s="50"/>
      <x:c r="F52" s="50"/>
      <x:c r="G52" s="50"/>
      <x:c r="H52" s="50"/>
      <x:c r="I52" s="50"/>
      <x:c r="J52" s="50"/>
      <x:c r="K52" s="50"/>
      <x:c r="L52" s="50"/>
      <x:c r="M52" s="50"/>
      <x:c r="N52" s="50"/>
      <x:c r="O52" s="50"/>
      <x:c r="P52" s="50"/>
    </x:row>
    <x:row r="53">
      <x:c r="A53" s="50" t="str">
        <x:v>INVESTIGACIÓN / OSINT / WATCHDOGS</x:v>
      </x:c>
      <x:c r="B53" s="50"/>
      <x:c r="C53" s="50"/>
      <x:c r="D53" s="50"/>
      <x:c r="E53" s="50"/>
      <x:c r="F53" s="50"/>
      <x:c r="G53" s="50"/>
      <x:c r="H53" s="50"/>
      <x:c r="I53" s="50"/>
      <x:c r="J53" s="50"/>
      <x:c r="K53" s="50"/>
      <x:c r="L53" s="50"/>
      <x:c r="M53" s="50"/>
      <x:c r="N53" s="50"/>
      <x:c r="O53" s="50"/>
      <x:c r="P53" s="50"/>
    </x:row>
    <x:row r="54">
      <x:c r="A54" s="50" t="str">
        <x:v>Bellingcat</x:v>
      </x:c>
      <x:c r="B54" s="50" t="str">
        <x:v>http://bellingcat.com/</x:v>
      </x:c>
      <x:c r="C54" s="50" t="str">
        <x:v>Netherlands</x:v>
      </x:c>
      <x:c r="D54" s="50" t="str">
        <x:v>Investigación / OSINT / Watchdogs</x:v>
      </x:c>
      <x:c r="E54" s="50" t="str">
        <x:v>Global</x:v>
      </x:c>
      <x:c r="F54" s="50" t="str">
        <x:v>OSINT / investigación</x:v>
      </x:c>
      <x:c r="G54" s="50" t="str">
        <x:v>Independiente</x:v>
      </x:c>
      <x:c r="H54" s="50" t="str">
        <x:v>Alta</x:v>
      </x:c>
      <x:c r="I54" s="50" t="str">
        <x:v>x</x:v>
      </x:c>
      <x:c r="J54" s="50"/>
      <x:c r="K54" s="50" t="str">
        <x:v>x</x:v>
      </x:c>
      <x:c r="L54" s="50"/>
      <x:c r="M54" s="50"/>
      <x:c r="N54" s="50"/>
      <x:c r="O54" s="50"/>
      <x:c r="P54" s="50"/>
    </x:row>
    <x:row r="55">
      <x:c r="A55" s="50" t="str">
        <x:v>Mada Masr</x:v>
      </x:c>
      <x:c r="B55" s="50" t="str">
        <x:v>https://www.madamasr.com/en/</x:v>
      </x:c>
      <x:c r="C55" s="50" t="str">
        <x:v>Egipto</x:v>
      </x:c>
      <x:c r="D55" s="50" t="str">
        <x:v>Investigación / OSINT / Watchdogs</x:v>
      </x:c>
      <x:c r="E55" s="50" t="str">
        <x:v>Egipto</x:v>
      </x:c>
      <x:c r="F55" s="50" t="str">
        <x:v>Medio independiente / investigación</x:v>
      </x:c>
      <x:c r="G55" s="50" t="str">
        <x:v>Independiente</x:v>
      </x:c>
      <x:c r="H55" s="50" t="str">
        <x:v>Alta</x:v>
      </x:c>
      <x:c r="I55" s="50" t="str">
        <x:v>x</x:v>
      </x:c>
      <x:c r="J55" s="50"/>
      <x:c r="K55" s="50" t="str">
        <x:v>x</x:v>
      </x:c>
      <x:c r="L55" s="50"/>
      <x:c r="M55" s="50" t="str">
        <x:v>x</x:v>
      </x:c>
      <x:c r="N55" s="50"/>
      <x:c r="O55" s="50"/>
      <x:c r="P55" s="50"/>
    </x:row>
    <x:row r="56">
      <x:c r="A56" s="50" t="str">
        <x:v>Media Bias/Fact Check</x:v>
      </x:c>
      <x:c r="B56" s="50" t="str">
        <x:v>https://mediabiasfactcheck.com/</x:v>
      </x:c>
      <x:c r="C56" s="50" t="str">
        <x:v>Estados Unidos</x:v>
      </x:c>
      <x:c r="D56" s="50" t="str">
        <x:v>Investigación / OSINT / Watchdogs</x:v>
      </x:c>
      <x:c r="E56" s="50" t="str">
        <x:v>Global</x:v>
      </x:c>
      <x:c r="F56" s="50" t="str">
        <x:v>Fact checking / Media Bias</x:v>
      </x:c>
      <x:c r="G56" s="50" t="str">
        <x:v>Centro</x:v>
      </x:c>
      <x:c r="H56" s="50" t="str">
        <x:v>Alta</x:v>
      </x:c>
      <x:c r="I56" s="50" t="str">
        <x:v>x</x:v>
      </x:c>
      <x:c r="J56" s="50"/>
      <x:c r="K56" s="50" t="str">
        <x:v>x</x:v>
      </x:c>
      <x:c r="L56" s="50"/>
      <x:c r="M56" s="50"/>
      <x:c r="N56" s="50"/>
      <x:c r="O56" s="50"/>
      <x:c r="P56" s="50"/>
    </x:row>
    <x:row r="57">
      <x:c r="A57" s="50" t="str">
        <x:v>Middle East Eye</x:v>
      </x:c>
      <x:c r="B57" s="50" t="str">
        <x:v>http://middleeasteye.net/</x:v>
      </x:c>
      <x:c r="C57" s="50" t="str">
        <x:v>Reino Unido</x:v>
      </x:c>
      <x:c r="D57" s="50" t="str">
        <x:v>Investigación / OSINT / Watchdogs</x:v>
      </x:c>
      <x:c r="E57" s="50" t="str">
        <x:v>Medio Oriente</x:v>
      </x:c>
      <x:c r="F57" s="50" t="str">
        <x:v>Medio independiente, investigación</x:v>
      </x:c>
      <x:c r="G57" s="50" t="str">
        <x:v>Centro-Izquierda</x:v>
      </x:c>
      <x:c r="H57" s="50" t="str">
        <x:v>Alta</x:v>
      </x:c>
      <x:c r="I57" s="50" t="str">
        <x:v>x</x:v>
      </x:c>
      <x:c r="J57" s="50"/>
      <x:c r="K57" s="50" t="str">
        <x:v>x</x:v>
      </x:c>
      <x:c r="L57" s="50" t="str">
        <x:v>x</x:v>
      </x:c>
      <x:c r="M57" s="50" t="str">
        <x:v>x</x:v>
      </x:c>
      <x:c r="N57" s="50"/>
      <x:c r="O57" s="50"/>
      <x:c r="P57" s="50"/>
    </x:row>
    <x:row r="58">
      <x:c r="A58" s="50" t="str">
        <x:v>The Intercept</x:v>
      </x:c>
      <x:c r="B58" s="50" t="str">
        <x:v>http://theintercept.com/</x:v>
      </x:c>
      <x:c r="C58" s="50" t="str">
        <x:v>Estados Unidos</x:v>
      </x:c>
      <x:c r="D58" s="50" t="str">
        <x:v>Investigación / OSINT / Watchdogs</x:v>
      </x:c>
      <x:c r="E58" s="50" t="str">
        <x:v>Global</x:v>
      </x:c>
      <x:c r="F58" s="50" t="str">
        <x:v>Investigación y filtraciones</x:v>
      </x:c>
      <x:c r="G58" s="50" t="str">
        <x:v>Izquierda</x:v>
      </x:c>
      <x:c r="H58" s="50" t="str">
        <x:v>Alta</x:v>
      </x:c>
      <x:c r="I58" s="50" t="str">
        <x:v>x</x:v>
      </x:c>
      <x:c r="J58" s="50"/>
      <x:c r="K58" s="50" t="str">
        <x:v>x</x:v>
      </x:c>
      <x:c r="L58" s="50" t="str">
        <x:v>x</x:v>
      </x:c>
      <x:c r="M58" s="50"/>
      <x:c r="N58" s="50"/>
      <x:c r="O58" s="50"/>
      <x:c r="P58" s="50"/>
    </x:row>
    <x:row r="59">
      <x:c r="A59" s="50" t="str">
        <x:v>The Seventh Eye</x:v>
      </x:c>
      <x:c r="B59" s="50" t="str">
        <x:v>http://the7eye.org.il/</x:v>
      </x:c>
      <x:c r="C59" s="50" t="str">
        <x:v>Israel</x:v>
      </x:c>
      <x:c r="D59" s="50" t="str">
        <x:v>Investigación / OSINT / Watchdogs</x:v>
      </x:c>
      <x:c r="E59" s="50" t="str">
        <x:v>Medio Oriente</x:v>
      </x:c>
      <x:c r="F59" s="50" t="str">
        <x:v>Observatorio de medios / watchdog</x:v>
      </x:c>
      <x:c r="G59" s="50" t="str">
        <x:v>Independiente</x:v>
      </x:c>
      <x:c r="H59" s="50" t="str">
        <x:v>Alta</x:v>
      </x:c>
      <x:c r="I59" s="50" t="str">
        <x:v>x</x:v>
      </x:c>
      <x:c r="J59" s="50"/>
      <x:c r="K59" s="50" t="str">
        <x:v>x</x:v>
      </x:c>
      <x:c r="L59" s="50"/>
      <x:c r="M59" s="50" t="str">
        <x:v>x</x:v>
      </x:c>
      <x:c r="N59" s="50"/>
      <x:c r="O59" s="50"/>
      <x:c r="P59" s="50"/>
    </x:row>
    <x:row r="60">
      <x:c r="A60" s="50"/>
      <x:c r="B60" s="50"/>
      <x:c r="C60" s="50"/>
      <x:c r="D60" s="50"/>
      <x:c r="E60" s="50"/>
      <x:c r="F60" s="50"/>
      <x:c r="G60" s="50"/>
      <x:c r="H60" s="50"/>
      <x:c r="I60" s="50"/>
      <x:c r="J60" s="50"/>
      <x:c r="K60" s="50"/>
      <x:c r="L60" s="50"/>
      <x:c r="M60" s="50"/>
      <x:c r="N60" s="50"/>
      <x:c r="O60" s="50"/>
      <x:c r="P60" s="50"/>
    </x:row>
    <x:row r="61">
      <x:c r="A61" s="50" t="str">
        <x:v>ACTIVISMO / DD. HH. – IRÁN</x:v>
      </x:c>
      <x:c r="B61" s="50"/>
      <x:c r="C61" s="50"/>
      <x:c r="D61" s="50"/>
      <x:c r="E61" s="50"/>
      <x:c r="F61" s="50"/>
      <x:c r="G61" s="50"/>
      <x:c r="H61" s="50"/>
      <x:c r="I61" s="50"/>
      <x:c r="J61" s="50"/>
      <x:c r="K61" s="50"/>
      <x:c r="L61" s="50"/>
      <x:c r="M61" s="50"/>
      <x:c r="N61" s="50"/>
      <x:c r="O61" s="50"/>
      <x:c r="P61" s="50"/>
    </x:row>
    <x:row r="62">
      <x:c r="A62" s="50" t="str">
        <x:v>Iran Human Rights</x:v>
      </x:c>
      <x:c r="B62" s="50" t="str">
        <x:v>http://iranhr.net/</x:v>
      </x:c>
      <x:c r="C62" s="50" t="str">
        <x:v>Noruega</x:v>
      </x:c>
      <x:c r="D62" s="50" t="str">
        <x:v>Activismo / DD. HH. – Irán</x:v>
      </x:c>
      <x:c r="E62" s="50" t="str">
        <x:v>Irán</x:v>
      </x:c>
      <x:c r="F62" s="50" t="str">
        <x:v>ONG derechos humanos</x:v>
      </x:c>
      <x:c r="G62" s="50" t="str">
        <x:v>Independiente</x:v>
      </x:c>
      <x:c r="H62" s="50" t="str">
        <x:v>Alta</x:v>
      </x:c>
      <x:c r="I62" s="50" t="str">
        <x:v>x</x:v>
      </x:c>
      <x:c r="J62" s="50"/>
      <x:c r="K62" s="50"/>
      <x:c r="L62" s="50"/>
      <x:c r="M62" s="50" t="str">
        <x:v>x</x:v>
      </x:c>
      <x:c r="N62" s="50"/>
      <x:c r="O62" s="50"/>
      <x:c r="P62" s="50"/>
    </x:row>
    <x:row r="63">
      <x:c r="A63" s="50" t="str">
        <x:v>IranWire</x:v>
      </x:c>
      <x:c r="B63" s="50" t="str">
        <x:v>http://iranwire.com/</x:v>
      </x:c>
      <x:c r="C63" s="50" t="str">
        <x:v>Reino Unido</x:v>
      </x:c>
      <x:c r="D63" s="50" t="str">
        <x:v>Activismo / DD. HH. – Irán</x:v>
      </x:c>
      <x:c r="E63" s="50" t="str">
        <x:v>Irán/Diaspora</x:v>
      </x:c>
      <x:c r="F63" s="50" t="str">
        <x:v>Medio de oposición / derechos humanos</x:v>
      </x:c>
      <x:c r="G63" s="50" t="str">
        <x:v>Independiente</x:v>
      </x:c>
      <x:c r="H63" s="50" t="str">
        <x:v>Alta</x:v>
      </x:c>
      <x:c r="I63" s="50" t="str">
        <x:v>x</x:v>
      </x:c>
      <x:c r="J63" s="50"/>
      <x:c r="K63" s="50"/>
      <x:c r="L63" s="50"/>
      <x:c r="M63" s="50"/>
      <x:c r="N63" s="50"/>
      <x:c r="O63" s="50"/>
      <x:c r="P63" s="50"/>
    </x:row>
    <x:row r="64">
      <x:c r="A64" s="50"/>
      <x:c r="B64" s="50"/>
      <x:c r="C64" s="50"/>
      <x:c r="D64" s="50"/>
      <x:c r="E64" s="50"/>
      <x:c r="F64" s="50"/>
      <x:c r="G64" s="50"/>
      <x:c r="H64" s="50"/>
      <x:c r="I64" s="50"/>
      <x:c r="J64" s="50"/>
      <x:c r="K64" s="50"/>
      <x:c r="L64" s="50"/>
      <x:c r="M64" s="50"/>
      <x:c r="N64" s="50"/>
      <x:c r="O64" s="50"/>
      <x:c r="P64" s="50"/>
    </x:row>
    <x:row r="65">
      <x:c r="A65" s="50" t="str">
        <x:v>OTROS / MISCELÁNEOS</x:v>
      </x:c>
      <x:c r="B65" s="50"/>
      <x:c r="C65" s="50"/>
      <x:c r="D65" s="50"/>
      <x:c r="E65" s="50"/>
      <x:c r="F65" s="50"/>
      <x:c r="G65" s="50"/>
      <x:c r="H65" s="50"/>
      <x:c r="I65" s="50"/>
      <x:c r="J65" s="50"/>
      <x:c r="K65" s="50"/>
      <x:c r="L65" s="50"/>
      <x:c r="M65" s="50"/>
      <x:c r="N65" s="50"/>
      <x:c r="O65" s="50"/>
      <x:c r="P65" s="50"/>
    </x:row>
    <x:row r="66">
      <x:c r="A66" s="50" t="str">
        <x:v>Press Gazette</x:v>
      </x:c>
      <x:c r="B66" s="50" t="str">
        <x:v>http://pressgazette.co.uk/</x:v>
      </x:c>
      <x:c r="C66" s="50" t="str">
        <x:v>Reino Unido</x:v>
      </x:c>
      <x:c r="D66" s="50" t="str">
        <x:v>Otros / misceláneos</x:v>
      </x:c>
      <x:c r="E66" s="50" t="str">
        <x:v>UK</x:v>
      </x:c>
      <x:c r="F66" s="50" t="str">
        <x:v>Revista de periodismo y medios</x:v>
      </x:c>
      <x:c r="G66" s="50"/>
      <x:c r="H66" s="50"/>
      <x:c r="I66" s="50"/>
      <x:c r="J66" s="50" t="str">
        <x:v>x</x:v>
      </x:c>
      <x:c r="K66" s="50"/>
      <x:c r="L66" s="50"/>
      <x:c r="M66" s="50"/>
      <x:c r="N66" s="50" t="str">
        <x:v>x</x:v>
      </x:c>
      <x:c r="O66" s="50"/>
      <x:c r="P66" s="50"/>
    </x:row>
    <x:row r="67">
      <x:c r="A67" s="50" t="str">
        <x:v>Shakuf — שקוף</x:v>
      </x:c>
      <x:c r="B67" s="50" t="str">
        <x:v>https://shakuf.co.il/</x:v>
      </x:c>
      <x:c r="C67" s="50" t="str">
        <x:v>Israel</x:v>
      </x:c>
      <x:c r="D67" s="50" t="str">
        <x:v>Investigación / OSINT / Watchdogs</x:v>
      </x:c>
      <x:c r="E67" s="50" t="str">
        <x:v>Medio Oriente</x:v>
      </x:c>
      <x:c r="F67" s="50" t="str">
        <x:v>Medio independiente / investigación / watchdog</x:v>
      </x:c>
      <x:c r="G67" s="50" t="str">
        <x:v>Independiente</x:v>
      </x:c>
      <x:c r="H67" s="50" t="str">
        <x:v>Alta</x:v>
      </x:c>
      <x:c r="I67" s="50" t="str">
        <x:v>x</x:v>
      </x:c>
      <x:c r="J67" s="50"/>
      <x:c r="K67" s="50" t="str">
        <x:v>x</x:v>
      </x:c>
      <x:c r="L67" s="50"/>
      <x:c r="M67" s="50" t="str">
        <x:v>x</x:v>
      </x:c>
      <x:c r="N67" s="50"/>
      <x:c r="O67" s="50"/>
      <x:c r="P67" s="5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5" hidden="0" customWidth="1"/>
    <x:col min="3" max="3" width="25" hidden="0" customWidth="1"/>
    <x:col min="4" max="4" width="23" hidden="0" customWidth="1"/>
    <x:col min="5" max="5" width="34" hidden="0" customWidth="1"/>
    <x:col min="6" max="6" width="20" hidden="0" customWidth="1"/>
    <x:col min="7" max="7" width="16" hidden="0" customWidth="1"/>
    <x:col min="8" max="8" width="16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0" customHeight="1">
      <x:c r="A1" s="320" t="str">
        <x:v>Cobertura geopolítica de África</x:v>
      </x:c>
      <x:c r="B1" s="320"/>
      <x:c r="C1" s="320"/>
      <x:c r="D1" s="320"/>
      <x:c r="E1" s="320"/>
      <x:c r="F1" s="320"/>
      <x:c r="G1" s="320"/>
      <x:c r="H1" s="320"/>
    </x:row>
    <x:row r="2" ht="38" customHeight="1">
      <x:c r="A2" s="324" t="str">
        <x:v>Selección equilibrada por subregión y función: medios locales, investigación, análisis, datos y fuentes oficiales. La cobertura regional no elimina la necesidad de triangulación por país y conflicto.</x:v>
      </x:c>
      <x:c r="B2" s="324"/>
      <x:c r="C2" s="324"/>
      <x:c r="D2" s="324"/>
      <x:c r="E2" s="324"/>
      <x:c r="F2" s="324"/>
      <x:c r="G2" s="324"/>
      <x:c r="H2" s="324"/>
    </x:row>
    <x:row r="4">
      <x:c r="A4" s="327" t="str">
        <x:v>Subregión</x:v>
      </x:c>
      <x:c r="B4" s="327" t="str">
        <x:v>Fuentes</x:v>
      </x:c>
      <x:c r="D4" s="336" t="str">
        <x:v>Criterios de composición de la selección</x:v>
      </x:c>
      <x:c r="E4" s="336"/>
      <x:c r="F4" s="336"/>
      <x:c r="G4" s="336"/>
      <x:c r="H4" s="336"/>
    </x:row>
    <x:row r="5" ht="34" customHeight="1">
      <x:c r="A5" s="328" t="str">
        <x:v>Pancontinental</x:v>
      </x:c>
      <x:c r="B5" s="330" t="n">
        <x:f>COUNTIF('Matriz profesional'!E5:E96,"África - Pancontinental")</x:f>
        <x:v>5</x:v>
      </x:c>
      <x:c r="D5" s="353" t="str">
        <x:v>1</x:v>
      </x:c>
      <x:c r="E5" s="354" t="str">
        <x:v>Origen local</x:v>
      </x:c>
      <x:c r="F5" s="355" t="str">
        <x:v>Priorizar redacciones o investigadores con acceso directo al país o subregión.</x:v>
      </x:c>
      <x:c r="G5" s="355"/>
      <x:c r="H5" s="355"/>
    </x:row>
    <x:row r="6" ht="34" customHeight="1">
      <x:c r="A6" s="328" t="str">
        <x:v>África del Norte</x:v>
      </x:c>
      <x:c r="B6" s="330" t="n">
        <x:f>COUNTIF('Matriz profesional'!E5:E96,"África del Norte")+COUNTIF('Matriz profesional'!E5:E96,"África del Norte / Medio Oriente")</x:f>
        <x:v>3</x:v>
      </x:c>
      <x:c r="D6" s="353" t="str">
        <x:v>2</x:v>
      </x:c>
      <x:c r="E6" s="354" t="str">
        <x:v>Diversidad funcional</x:v>
      </x:c>
      <x:c r="F6" s="355" t="str">
        <x:v>Combinar noticias, investigación, datos, análisis y fuentes oficiales.</x:v>
      </x:c>
      <x:c r="G6" s="355"/>
      <x:c r="H6" s="355"/>
    </x:row>
    <x:row r="7" ht="34" customHeight="1">
      <x:c r="A7" s="328" t="str">
        <x:v>África Occidental / Sahel</x:v>
      </x:c>
      <x:c r="B7" s="330" t="n">
        <x:f>COUNTIF('Matriz profesional'!E5:E96,"África Occidental")+COUNTIF('Matriz profesional'!E5:E96,"África Occidental / Sahel")</x:f>
        <x:v>2</x:v>
      </x:c>
      <x:c r="D7" s="353" t="str">
        <x:v>3</x:v>
      </x:c>
      <x:c r="E7" s="354" t="str">
        <x:v>Diversidad lingüística</x:v>
      </x:c>
      <x:c r="F7" s="355" t="str">
        <x:v>Incluir inglés, francés, árabe y lenguas africanas cuando sea posible.</x:v>
      </x:c>
      <x:c r="G7" s="355"/>
      <x:c r="H7" s="355"/>
    </x:row>
    <x:row r="8" ht="34" customHeight="1">
      <x:c r="A8" s="328" t="str">
        <x:v>África Oriental / Cuerno</x:v>
      </x:c>
      <x:c r="B8" s="330" t="n">
        <x:f>COUNTIF('Matriz profesional'!E5:E96,"África Oriental")+COUNTIF('Matriz profesional'!E5:E96,"África Oriental / Pancontinental")+COUNTIF('Matriz profesional'!E5:E96,"África Oriental / Cuerno de África")</x:f>
        <x:v>4</x:v>
      </x:c>
      <x:c r="D8" s="353" t="str">
        <x:v>4</x:v>
      </x:c>
      <x:c r="E8" s="354" t="str">
        <x:v>Triangulación</x:v>
      </x:c>
      <x:c r="F8" s="355" t="str">
        <x:v>No confirmar conflictos, elecciones o seguridad con una sola fuente local.</x:v>
      </x:c>
      <x:c r="G8" s="355"/>
      <x:c r="H8" s="355"/>
    </x:row>
    <x:row r="9" ht="34" customHeight="1">
      <x:c r="A9" s="328" t="str">
        <x:v>África Central</x:v>
      </x:c>
      <x:c r="B9" s="330" t="n">
        <x:f>COUNTIF('Matriz profesional'!E5:E96,"África Central")</x:f>
        <x:v>2</x:v>
      </x:c>
      <x:c r="D9" s="356" t="str">
        <x:v>5</x:v>
      </x:c>
      <x:c r="E9" s="357" t="str">
        <x:v>Transparencia</x:v>
      </x:c>
      <x:c r="F9" s="358" t="str">
        <x:v>Registrar propiedad, financiación, orientación y política de correcciones.</x:v>
      </x:c>
      <x:c r="G9" s="358"/>
      <x:c r="H9" s="358"/>
    </x:row>
    <x:row r="10">
      <x:c r="A10" s="328" t="str">
        <x:v>África Austral</x:v>
      </x:c>
      <x:c r="B10" s="330" t="n">
        <x:f>COUNTIF('Matriz profesional'!E5:E96,"África Austral")</x:f>
        <x:v>4</x:v>
      </x:c>
    </x:row>
    <x:row r="11">
      <x:c r="A11" s="332" t="str">
        <x:v>Total selección africana</x:v>
      </x:c>
      <x:c r="B11" s="333" t="n">
        <x:f>SUM(B5:B10)</x:f>
        <x:v>20</x:v>
      </x:c>
    </x:row>
    <x:row r="14" ht="30" customHeight="1">
      <x:c r="A14" s="361" t="str">
        <x:v>Subregión</x:v>
      </x:c>
      <x:c r="B14" s="361" t="str">
        <x:v>Fuente</x:v>
      </x:c>
      <x:c r="C14" s="361" t="str">
        <x:v>Sede / país</x:v>
      </x:c>
      <x:c r="D14" s="361" t="str">
        <x:v>Tipo</x:v>
      </x:c>
      <x:c r="E14" s="361" t="str">
        <x:v>Uso principal</x:v>
      </x:c>
      <x:c r="F14" s="361" t="str">
        <x:v>Corroboración</x:v>
      </x:c>
    </x:row>
    <x:row r="15">
      <x:c r="A15" s="364" t="str">
        <x:v>Pancontinental</x:v>
      </x:c>
      <x:c r="B15" s="312" t="str">
        <x:v>African Arguments</x:v>
      </x:c>
      <x:c r="C15" s="308" t="str">
        <x:v>Red pan-africana / Reino Unido</x:v>
      </x:c>
      <x:c r="D15" s="308" t="str">
        <x:v>Análisis</x:v>
      </x:c>
      <x:c r="E15" s="308" t="str">
        <x:v>Debate y voces africanas</x:v>
      </x:c>
      <x:c r="F15" s="308" t="str">
        <x:v>Moderada</x:v>
      </x:c>
    </x:row>
    <x:row r="16">
      <x:c r="A16" s="364" t="str">
        <x:v>Pancontinental</x:v>
      </x:c>
      <x:c r="B16" s="312" t="str">
        <x:v>Africa Confidential</x:v>
      </x:c>
      <x:c r="C16" s="308" t="str">
        <x:v>Reino Unido / África</x:v>
      </x:c>
      <x:c r="D16" s="308" t="str">
        <x:v>Boletín especializado</x:v>
      </x:c>
      <x:c r="E16" s="308" t="str">
        <x:v>Élites, poder y señales tempranas</x:v>
      </x:c>
      <x:c r="F16" s="308" t="str">
        <x:v>Alta</x:v>
      </x:c>
    </x:row>
    <x:row r="17">
      <x:c r="A17" s="364" t="str">
        <x:v>Pancontinental</x:v>
      </x:c>
      <x:c r="B17" s="312" t="str">
        <x:v>ISS Africa</x:v>
      </x:c>
      <x:c r="C17" s="308" t="str">
        <x:v>Sudáfrica y oficinas regionales</x:v>
      </x:c>
      <x:c r="D17" s="308" t="str">
        <x:v>Think tank</x:v>
      </x:c>
      <x:c r="E17" s="308" t="str">
        <x:v>Seguridad y gobernanza</x:v>
      </x:c>
      <x:c r="F17" s="308" t="str">
        <x:v>Moderada</x:v>
      </x:c>
    </x:row>
    <x:row r="18">
      <x:c r="A18" s="364" t="str">
        <x:v>Pancontinental</x:v>
      </x:c>
      <x:c r="B18" s="312" t="str">
        <x:v>Afrobarometer</x:v>
      </x:c>
      <x:c r="C18" s="308" t="str">
        <x:v>Red pan-africana / Accra</x:v>
      </x:c>
      <x:c r="D18" s="308" t="str">
        <x:v>Datos de encuestas</x:v>
      </x:c>
      <x:c r="E18" s="308" t="str">
        <x:v>Opinión pública comparada</x:v>
      </x:c>
      <x:c r="F18" s="308" t="str">
        <x:v>Baja a moderada</x:v>
      </x:c>
    </x:row>
    <x:row r="19">
      <x:c r="A19" s="364" t="str">
        <x:v>Pancontinental</x:v>
      </x:c>
      <x:c r="B19" s="312" t="str">
        <x:v>African Union</x:v>
      </x:c>
      <x:c r="C19" s="308" t="str">
        <x:v>Addis Ababa / continental</x:v>
      </x:c>
      <x:c r="D19" s="308" t="str">
        <x:v>Fuente oficial</x:v>
      </x:c>
      <x:c r="E19" s="308" t="str">
        <x:v>Tratados, decisiones y posiciones</x:v>
      </x:c>
      <x:c r="F19" s="308" t="str">
        <x:v>Moderada/obligatoria</x:v>
      </x:c>
    </x:row>
    <x:row r="20">
      <x:c r="A20" s="364" t="str">
        <x:v>África del Norte</x:v>
      </x:c>
      <x:c r="B20" s="312" t="str">
        <x:v>Mada Masr</x:v>
      </x:c>
      <x:c r="C20" s="308" t="str">
        <x:v>Egipto</x:v>
      </x:c>
      <x:c r="D20" s="308" t="str">
        <x:v>Investigación</x:v>
      </x:c>
      <x:c r="E20" s="308" t="str">
        <x:v>Egipto y derechos civiles</x:v>
      </x:c>
      <x:c r="F20" s="308" t="str">
        <x:v>Moderada</x:v>
      </x:c>
    </x:row>
    <x:row r="21">
      <x:c r="A21" s="364" t="str">
        <x:v>África del Norte</x:v>
      </x:c>
      <x:c r="B21" s="312" t="str">
        <x:v>Inkyfada</x:v>
      </x:c>
      <x:c r="C21" s="308" t="str">
        <x:v>Túnez</x:v>
      </x:c>
      <x:c r="D21" s="308" t="str">
        <x:v>Investigación y datos</x:v>
      </x:c>
      <x:c r="E21" s="308" t="str">
        <x:v>Túnez, Magreb y migración</x:v>
      </x:c>
      <x:c r="F21" s="308" t="str">
        <x:v>Moderada</x:v>
      </x:c>
    </x:row>
    <x:row r="22">
      <x:c r="A22" s="364" t="str">
        <x:v>África del Norte</x:v>
      </x:c>
      <x:c r="B22" s="312" t="str">
        <x:v>Le Desk</x:v>
      </x:c>
      <x:c r="C22" s="308" t="str">
        <x:v>Marruecos</x:v>
      </x:c>
      <x:c r="D22" s="308" t="str">
        <x:v>Investigación digital</x:v>
      </x:c>
      <x:c r="E22" s="308" t="str">
        <x:v>Marruecos y diplomacia</x:v>
      </x:c>
      <x:c r="F22" s="308" t="str">
        <x:v>Moderada-alta</x:v>
      </x:c>
    </x:row>
    <x:row r="23">
      <x:c r="A23" s="364" t="str">
        <x:v>África Occidental / Sahel</x:v>
      </x:c>
      <x:c r="B23" s="312" t="str">
        <x:v>Premium Times</x:v>
      </x:c>
      <x:c r="C23" s="308" t="str">
        <x:v>Nigeria</x:v>
      </x:c>
      <x:c r="D23" s="308" t="str">
        <x:v>Medio generalista/investigación</x:v>
      </x:c>
      <x:c r="E23" s="308" t="str">
        <x:v>Nigeria, corrupción y democracia</x:v>
      </x:c>
      <x:c r="F23" s="308" t="str">
        <x:v>Moderada</x:v>
      </x:c>
    </x:row>
    <x:row r="24">
      <x:c r="A24" s="364" t="str">
        <x:v>África Occidental / Sahel</x:v>
      </x:c>
      <x:c r="B24" s="312" t="str">
        <x:v>HumAngle</x:v>
      </x:c>
      <x:c r="C24" s="308" t="str">
        <x:v>Nigeria / Sahel</x:v>
      </x:c>
      <x:c r="D24" s="308" t="str">
        <x:v>Medio especializado</x:v>
      </x:c>
      <x:c r="E24" s="308" t="str">
        <x:v>Conflictos y crisis humanitarias</x:v>
      </x:c>
      <x:c r="F24" s="308" t="str">
        <x:v>Alta</x:v>
      </x:c>
    </x:row>
    <x:row r="25">
      <x:c r="A25" s="364" t="str">
        <x:v>África Oriental / Cuerno</x:v>
      </x:c>
      <x:c r="B25" s="312" t="str">
        <x:v>The EastAfrican</x:v>
      </x:c>
      <x:c r="C25" s="308" t="str">
        <x:v>Kenia / EAC</x:v>
      </x:c>
      <x:c r="D25" s="308" t="str">
        <x:v>Medio regional</x:v>
      </x:c>
      <x:c r="E25" s="308" t="str">
        <x:v>Integración y geoeconomía regional</x:v>
      </x:c>
      <x:c r="F25" s="308" t="str">
        <x:v>Moderada</x:v>
      </x:c>
    </x:row>
    <x:row r="26">
      <x:c r="A26" s="364" t="str">
        <x:v>África Oriental / Cuerno</x:v>
      </x:c>
      <x:c r="B26" s="312" t="str">
        <x:v>The Elephant</x:v>
      </x:c>
      <x:c r="C26" s="308" t="str">
        <x:v>Kenia / pan-africano</x:v>
      </x:c>
      <x:c r="D26" s="308" t="str">
        <x:v>Análisis y opinión</x:v>
      </x:c>
      <x:c r="E26" s="308" t="str">
        <x:v>Debate político y social</x:v>
      </x:c>
      <x:c r="F26" s="308" t="str">
        <x:v>Alta</x:v>
      </x:c>
    </x:row>
    <x:row r="27">
      <x:c r="A27" s="364" t="str">
        <x:v>África Oriental / Cuerno</x:v>
      </x:c>
      <x:c r="B27" s="312" t="str">
        <x:v>Addis Standard</x:v>
      </x:c>
      <x:c r="C27" s="308" t="str">
        <x:v>Etiopía</x:v>
      </x:c>
      <x:c r="D27" s="308" t="str">
        <x:v>Medio independiente</x:v>
      </x:c>
      <x:c r="E27" s="308" t="str">
        <x:v>Etiopía y Cuerno de África</x:v>
      </x:c>
      <x:c r="F27" s="308" t="str">
        <x:v>Alta</x:v>
      </x:c>
    </x:row>
    <x:row r="28">
      <x:c r="A28" s="364" t="str">
        <x:v>África Oriental / Cuerno</x:v>
      </x:c>
      <x:c r="B28" s="312" t="str">
        <x:v>Africa Uncensored</x:v>
      </x:c>
      <x:c r="C28" s="308" t="str">
        <x:v>Kenia</x:v>
      </x:c>
      <x:c r="D28" s="308" t="str">
        <x:v>Investigación audiovisual</x:v>
      </x:c>
      <x:c r="E28" s="308" t="str">
        <x:v>Corrupción y asuntos subcubiertos</x:v>
      </x:c>
      <x:c r="F28" s="308" t="str">
        <x:v>Moderada</x:v>
      </x:c>
    </x:row>
    <x:row r="29">
      <x:c r="A29" s="364" t="str">
        <x:v>África Central</x:v>
      </x:c>
      <x:c r="B29" s="312" t="str">
        <x:v>ACTUALITE.CD</x:v>
      </x:c>
      <x:c r="C29" s="308" t="str">
        <x:v>R. D. del Congo</x:v>
      </x:c>
      <x:c r="D29" s="308" t="str">
        <x:v>Medio digital</x:v>
      </x:c>
      <x:c r="E29" s="308" t="str">
        <x:v>RDC y conflicto oriental</x:v>
      </x:c>
      <x:c r="F29" s="308" t="str">
        <x:v>Alta</x:v>
      </x:c>
    </x:row>
    <x:row r="30">
      <x:c r="A30" s="364" t="str">
        <x:v>África Central</x:v>
      </x:c>
      <x:c r="B30" s="312" t="str">
        <x:v>Radio Okapi</x:v>
      </x:c>
      <x:c r="C30" s="308" t="str">
        <x:v>R. D. del Congo / ONU</x:v>
      </x:c>
      <x:c r="D30" s="308" t="str">
        <x:v>Radiodifusor público</x:v>
      </x:c>
      <x:c r="E30" s="308" t="str">
        <x:v>Información territorial y servicio público</x:v>
      </x:c>
      <x:c r="F30" s="308" t="str">
        <x:v>Moderada</x:v>
      </x:c>
    </x:row>
    <x:row r="31">
      <x:c r="A31" s="364" t="str">
        <x:v>África Austral</x:v>
      </x:c>
      <x:c r="B31" s="312" t="str">
        <x:v>Daily Maverick</x:v>
      </x:c>
      <x:c r="C31" s="308" t="str">
        <x:v>Sudáfrica</x:v>
      </x:c>
      <x:c r="D31" s="308" t="str">
        <x:v>Medio independiente</x:v>
      </x:c>
      <x:c r="E31" s="308" t="str">
        <x:v>Sudáfrica y región</x:v>
      </x:c>
      <x:c r="F31" s="308" t="str">
        <x:v>Moderada</x:v>
      </x:c>
    </x:row>
    <x:row r="32">
      <x:c r="A32" s="364" t="str">
        <x:v>África Austral</x:v>
      </x:c>
      <x:c r="B32" s="312" t="str">
        <x:v>amaBhungane</x:v>
      </x:c>
      <x:c r="C32" s="308" t="str">
        <x:v>Sudáfrica</x:v>
      </x:c>
      <x:c r="D32" s="308" t="str">
        <x:v>Investigación</x:v>
      </x:c>
      <x:c r="E32" s="308" t="str">
        <x:v>Corrupción y captura del Estado</x:v>
      </x:c>
      <x:c r="F32" s="308" t="str">
        <x:v>Baja a moderada</x:v>
      </x:c>
    </x:row>
    <x:row r="33">
      <x:c r="A33" s="364" t="str">
        <x:v>África Austral</x:v>
      </x:c>
      <x:c r="B33" s="312" t="str">
        <x:v>Mail &amp; Guardian</x:v>
      </x:c>
      <x:c r="C33" s="308" t="str">
        <x:v>Sudáfrica</x:v>
      </x:c>
      <x:c r="D33" s="308" t="str">
        <x:v>Medio generalista</x:v>
      </x:c>
      <x:c r="E33" s="308" t="str">
        <x:v>Política regional y medioambiente</x:v>
      </x:c>
      <x:c r="F33" s="308" t="str">
        <x:v>Moderada</x:v>
      </x:c>
    </x:row>
    <x:row r="34">
      <x:c r="A34" s="365" t="str">
        <x:v>África Austral</x:v>
      </x:c>
      <x:c r="B34" s="73" t="str">
        <x:v>The Namibian</x:v>
      </x:c>
      <x:c r="C34" s="53" t="str">
        <x:v>Namibia</x:v>
      </x:c>
      <x:c r="D34" s="53" t="str">
        <x:v>Medio generalista</x:v>
      </x:c>
      <x:c r="E34" s="53" t="str">
        <x:v>Namibia, recursos y política</x:v>
      </x:c>
      <x:c r="F34" s="53" t="str">
        <x:v>Moderada</x:v>
      </x:c>
    </x:row>
    <x:row r="37">
      <x:c r="A37" s="368" t="str">
        <x:v>Coberturas que todavía conviene reforzar</x:v>
      </x:c>
      <x:c r="B37" s="368"/>
      <x:c r="C37" s="368"/>
      <x:c r="D37" s="368"/>
      <x:c r="E37" s="368"/>
      <x:c r="F37" s="368"/>
      <x:c r="G37" s="368"/>
      <x:c r="H37" s="368"/>
    </x:row>
    <x:row r="38">
      <x:c r="A38" s="372" t="str">
        <x:v>África lusófona —especialmente Angola y Mozambique—; Sahel francófono fuera de Nigeria; Somalia y Sudán; África Central fuera de la RDC; y los Estados insulares del océano Índico. Estas áreas requieren una segunda fase de selección porque la calidad, continuidad y transparencia de las fuentes varían considerablemente.</x:v>
      </x:c>
      <x:c r="B38" s="372"/>
      <x:c r="C38" s="372"/>
      <x:c r="D38" s="372"/>
      <x:c r="E38" s="372"/>
      <x:c r="F38" s="372"/>
      <x:c r="G38" s="372"/>
      <x:c r="H38" s="372"/>
    </x:row>
    <x:row r="39">
      <x:c r="A39" s="372"/>
      <x:c r="B39" s="372"/>
      <x:c r="C39" s="372"/>
      <x:c r="D39" s="372"/>
      <x:c r="E39" s="372"/>
      <x:c r="F39" s="372"/>
      <x:c r="G39" s="372"/>
      <x:c r="H39" s="372"/>
    </x:row>
    <x:row r="40">
      <x:c r="A40" s="372"/>
      <x:c r="B40" s="372"/>
      <x:c r="C40" s="372"/>
      <x:c r="D40" s="372"/>
      <x:c r="E40" s="372"/>
      <x:c r="F40" s="372"/>
      <x:c r="G40" s="372"/>
      <x:c r="H40" s="372"/>
    </x:row>
  </x:sheetData>
  <x:mergeCells>
    <x:mergeCell ref="A1:H1"/>
    <x:mergeCell ref="A2:H2"/>
    <x:mergeCell ref="D4:H4"/>
    <x:mergeCell ref="F5:H5"/>
    <x:mergeCell ref="F6:H6"/>
    <x:mergeCell ref="F7:H7"/>
    <x:mergeCell ref="F8:H8"/>
    <x:mergeCell ref="F9:H9"/>
    <x:mergeCell ref="A37:H37"/>
    <x:mergeCell ref="A38:H40"/>
  </x:mergeCells>
  <x:pageMargins left="0.7" right="0.7" top="0.75" bottom="0.75" header="0.3" footer="0.3"/>
  <x:drawing xmlns:r="http://schemas.openxmlformats.org/officeDocument/2006/relationships" r:id="R34b8d042bb3042a4"/>
  <x:tableParts count="1">
    <x:tablePart xmlns:r="http://schemas.openxmlformats.org/officeDocument/2006/relationships" r:id="R5f92bd661908423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8" hidden="0" customWidth="1"/>
    <x:col min="3" max="3" width="34" hidden="0" customWidth="1"/>
    <x:col min="4" max="4" width="27" hidden="0" customWidth="1"/>
    <x:col min="5" max="5" width="22" hidden="0" customWidth="1"/>
    <x:col min="6" max="6" width="19" hidden="0" customWidth="1"/>
    <x:col min="7" max="7" width="24" hidden="0" customWidth="1"/>
    <x:col min="8" max="8" width="30" hidden="0" customWidth="1"/>
    <x:col min="9" max="9" width="28" hidden="0" customWidth="1"/>
    <x:col min="10" max="10" width="20" hidden="0" customWidth="1"/>
    <x:col min="11" max="11" width="24" hidden="0" customWidth="1"/>
    <x:col min="12" max="12" width="28" hidden="0" customWidth="1"/>
    <x:col min="13" max="13" width="13" hidden="0" customWidth="1"/>
    <x:col min="14" max="14" width="14" hidden="0" customWidth="1"/>
    <x:col min="15" max="15" width="13" hidden="0" customWidth="1"/>
    <x:col min="16" max="16" width="13" hidden="0" customWidth="1"/>
    <x:col min="17" max="17" width="14" hidden="0" customWidth="1"/>
    <x:col min="18" max="18" width="15" hidden="0" customWidth="1"/>
    <x:col min="19" max="19" width="12" hidden="0" customWidth="1"/>
    <x:col min="20" max="20" width="15" hidden="0" customWidth="1"/>
    <x:col min="21" max="21" width="33" hidden="0" customWidth="1"/>
    <x:col min="22" max="22" width="24" hidden="0" customWidth="1"/>
    <x:col min="23" max="23" width="35" hidden="0" customWidth="1"/>
    <x:col min="24" max="24" width="18" hidden="0" customWidth="1"/>
    <x:col min="25" max="25" width="44" hidden="0" customWidth="1"/>
    <x:col min="26" max="26" width="38" hidden="0" customWidth="1"/>
    <x:col min="27" max="27" width="15" hidden="0" customWidth="1"/>
  </x:cols>
  <x:sheetData>
    <x:row r="1" ht="30" customHeight="1">
      <x:c r="A1" s="394" t="str">
        <x:v>Fuentes ordenadas por región</x:v>
      </x:c>
      <x:c r="B1" s="394"/>
      <x:c r="C1" s="394"/>
      <x:c r="D1" s="394"/>
      <x:c r="E1" s="394"/>
      <x:c r="F1" s="394"/>
      <x:c r="G1" s="394"/>
      <x:c r="H1" s="394"/>
      <x:c r="I1" s="394"/>
      <x:c r="J1" s="394"/>
      <x:c r="K1" s="394"/>
      <x:c r="L1" s="394"/>
      <x:c r="M1" s="394"/>
      <x:c r="N1" s="394"/>
      <x:c r="O1" s="394"/>
      <x:c r="P1" s="394"/>
      <x:c r="Q1" s="394"/>
      <x:c r="R1" s="394"/>
      <x:c r="S1" s="394"/>
      <x:c r="T1" s="394"/>
      <x:c r="U1" s="394"/>
      <x:c r="V1" s="394"/>
      <x:c r="W1" s="394"/>
      <x:c r="X1" s="394"/>
      <x:c r="Y1" s="394"/>
      <x:c r="Z1" s="394"/>
      <x:c r="AA1" s="394"/>
    </x:row>
    <x:row r="2" ht="34" customHeight="1">
      <x:c r="A2" s="398" t="str">
        <x:v>Utilice los filtros de la fila 4. La columna E está resaltada y la vista conserva todas las columnas de evaluación M:AA.</x:v>
      </x:c>
      <x:c r="B2" s="398"/>
      <x:c r="C2" s="398"/>
      <x:c r="D2" s="398"/>
      <x:c r="E2" s="398"/>
      <x:c r="F2" s="398"/>
      <x:c r="G2" s="398"/>
      <x:c r="H2" s="398"/>
      <x:c r="I2" s="398"/>
      <x:c r="J2" s="398"/>
      <x:c r="K2" s="398"/>
      <x:c r="L2" s="398"/>
      <x:c r="M2" s="398"/>
      <x:c r="N2" s="398"/>
      <x:c r="O2" s="398"/>
      <x:c r="P2" s="398"/>
      <x:c r="Q2" s="398"/>
      <x:c r="R2" s="398"/>
      <x:c r="S2" s="398"/>
      <x:c r="T2" s="398"/>
      <x:c r="U2" s="398"/>
      <x:c r="V2" s="398"/>
      <x:c r="W2" s="398"/>
      <x:c r="X2" s="398"/>
      <x:c r="Y2" s="398"/>
      <x:c r="Z2" s="398"/>
      <x:c r="AA2" s="398"/>
    </x:row>
    <x:row r="4" ht="48" customHeight="1">
      <x:c r="A4" s="403" t="str">
        <x:v>ID</x:v>
      </x:c>
      <x:c r="B4" s="403" t="str">
        <x:v>Nombre</x:v>
      </x:c>
      <x:c r="C4" s="403" t="str">
        <x:v>URL</x:v>
      </x:c>
      <x:c r="D4" s="403" t="str">
        <x:v>Sede / alcance institucional</x:v>
      </x:c>
      <x:c r="E4" s="403" t="str">
        <x:v>Región principal</x:v>
      </x:c>
      <x:c r="F4" s="403" t="str">
        <x:v>Idioma / edición</x:v>
      </x:c>
      <x:c r="G4" s="403" t="str">
        <x:v>Familia de fuente</x:v>
      </x:c>
      <x:c r="H4" s="403" t="str">
        <x:v>Función epistemológica</x:v>
      </x:c>
      <x:c r="I4" s="403" t="str">
        <x:v>Propiedad / financiación</x:v>
      </x:c>
      <x:c r="J4" s="403" t="str">
        <x:v>Tipo de control</x:v>
      </x:c>
      <x:c r="K4" s="403" t="str">
        <x:v>Orientación editorial</x:v>
      </x:c>
      <x:c r="L4" s="403" t="str">
        <x:v>Perspectiva geopolítica</x:v>
      </x:c>
      <x:c r="M4" s="403" t="str">
        <x:v>Fiabilidad factual (1-5)</x:v>
      </x:c>
      <x:c r="N4" s="403" t="str">
        <x:v>Independencia editorial (1-5)</x:v>
      </x:c>
      <x:c r="O4" s="403" t="str">
        <x:v>Transparencia (1-5)</x:v>
      </x:c>
      <x:c r="P4" s="403" t="str">
        <x:v>Rigor metodológico (1-5)</x:v>
      </x:c>
      <x:c r="Q4" s="403" t="str">
        <x:v>Política de correcciones (1-5)</x:v>
      </x:c>
      <x:c r="R4" s="403" t="str">
        <x:v>Separación noticia/opinión (1-5)</x:v>
      </x:c>
      <x:c r="S4" s="403" t="str">
        <x:v>Puntuación global</x:v>
      </x:c>
      <x:c r="T4" s="403" t="str">
        <x:v>Nivel de confianza</x:v>
      </x:c>
      <x:c r="U4" s="403" t="str">
        <x:v>Uso analítico recomendado</x:v>
      </x:c>
      <x:c r="V4" s="403" t="str">
        <x:v>Corroboración requerida</x:v>
      </x:c>
      <x:c r="W4" s="403" t="str">
        <x:v>Corroborar con</x:v>
      </x:c>
      <x:c r="X4" s="403" t="str">
        <x:v>Estado</x:v>
      </x:c>
      <x:c r="Y4" s="403" t="str">
        <x:v>Observaciones</x:v>
      </x:c>
      <x:c r="Z4" s="403" t="str">
        <x:v>Referencia institucional</x:v>
      </x:c>
      <x:c r="AA4" s="403" t="str">
        <x:v>Fecha de revisión</x:v>
      </x:c>
    </x:row>
    <x:row r="5">
      <x:c r="A5" s="309" t="n">
        <x:v>4</x:v>
      </x:c>
      <x:c r="B5" s="312" t="str">
        <x:v>La Nación (Argentina)</x:v>
      </x:c>
      <x:c r="C5" s="313" t="str">
        <x:v>https://www.lanacion.com.ar/</x:v>
      </x:c>
      <x:c r="D5" s="308" t="str">
        <x:v>Argentina</x:v>
      </x:c>
      <x:c r="E5" s="404" t="str">
        <x:v>América Latina</x:v>
      </x:c>
      <x:c r="F5" s="308" t="str">
        <x:v>Español</x:v>
      </x:c>
      <x:c r="G5" s="308" t="str">
        <x:v>Medio generalista</x:v>
      </x:c>
      <x:c r="H5" s="308" t="str">
        <x:v>Noticias, análisis y opinión</x:v>
      </x:c>
      <x:c r="I5" s="308" t="str">
        <x:v>Privado comercial</x:v>
      </x:c>
      <x:c r="J5" s="308" t="str">
        <x:v>Privado</x:v>
      </x:c>
      <x:c r="K5" s="308" t="str">
        <x:v>Centro-derecha</x:v>
      </x:c>
      <x:c r="L5" s="308" t="str">
        <x:v>Argentina / liberal-conservadora</x:v>
      </x:c>
      <x:c r="M5" s="309" t="n">
        <x:v>4</x:v>
      </x:c>
      <x:c r="N5" s="309" t="n">
        <x:v>4</x:v>
      </x:c>
      <x:c r="O5" s="309" t="n">
        <x:v>4</x:v>
      </x:c>
      <x:c r="P5" s="309" t="n">
        <x:v>4</x:v>
      </x:c>
      <x:c r="Q5" s="309" t="n">
        <x:v>4</x:v>
      </x:c>
      <x:c r="R5" s="309" t="n">
        <x:v>4</x:v>
      </x:c>
      <x:c r="S5" s="311" t="n">
        <x:v>4</x:v>
      </x:c>
      <x:c r="T5" s="309" t="str">
        <x:v>Media-alta</x:v>
      </x:c>
      <x:c r="U5" s="308" t="str">
        <x:v>Argentina y Cono Sur</x:v>
      </x:c>
      <x:c r="V5" s="308" t="str">
        <x:v>Moderada</x:v>
      </x:c>
      <x:c r="W5" s="308" t="str">
        <x:v>Reuters, AP y medios regionales</x:v>
      </x:c>
      <x:c r="X5" s="308" t="str">
        <x:v>Activo</x:v>
      </x:c>
      <x:c r="Y5" s="308"/>
      <x:c r="Z5" s="308" t="str">
        <x:v>https://www.lanacion.com.ar/</x:v>
      </x:c>
      <x:c r="AA5" s="310" t="n">
        <x:v>46219</x:v>
      </x:c>
    </x:row>
    <x:row r="6">
      <x:c r="A6" s="309" t="n">
        <x:v>52</x:v>
      </x:c>
      <x:c r="B6" s="312" t="str">
        <x:v>Caixin Global</x:v>
      </x:c>
      <x:c r="C6" s="313" t="str">
        <x:v>https://www.caixinglobal.com/</x:v>
      </x:c>
      <x:c r="D6" s="308" t="str">
        <x:v>China</x:v>
      </x:c>
      <x:c r="E6" s="404" t="str">
        <x:v>Asia</x:v>
      </x:c>
      <x:c r="F6" s="308" t="str">
        <x:v>Inglés/Chino</x:v>
      </x:c>
      <x:c r="G6" s="308" t="str">
        <x:v>Medio económico</x:v>
      </x:c>
      <x:c r="H6" s="308" t="str">
        <x:v>Economía, finanzas e investigación</x:v>
      </x:c>
      <x:c r="I6" s="308" t="str">
        <x:v>Privado/comercial bajo entorno regulado</x:v>
      </x:c>
      <x:c r="J6" s="308" t="str">
        <x:v>Privado/regulado</x:v>
      </x:c>
      <x:c r="K6" s="308" t="str">
        <x:v>Reformista / promercado</x:v>
      </x:c>
      <x:c r="L6" s="308" t="str">
        <x:v>China económica</x:v>
      </x:c>
      <x:c r="M6" s="309" t="n">
        <x:v>4</x:v>
      </x:c>
      <x:c r="N6" s="309" t="n">
        <x:v>3</x:v>
      </x:c>
      <x:c r="O6" s="309" t="n">
        <x:v>3</x:v>
      </x:c>
      <x:c r="P6" s="309" t="n">
        <x:v>4</x:v>
      </x:c>
      <x:c r="Q6" s="309" t="n">
        <x:v>4</x:v>
      </x:c>
      <x:c r="R6" s="309" t="n">
        <x:v>4</x:v>
      </x:c>
      <x:c r="S6" s="311" t="n">
        <x:v>3.7</x:v>
      </x:c>
      <x:c r="T6" s="309" t="str">
        <x:v>Media-alta</x:v>
      </x:c>
      <x:c r="U6" s="308" t="str">
        <x:v>Economía china y empresas</x:v>
      </x:c>
      <x:c r="V6" s="308" t="str">
        <x:v>Alta en temas políticos sensibles</x:v>
      </x:c>
      <x:c r="W6" s="308" t="str">
        <x:v>Reuters, Bloomberg, Nikkei y datos oficiales</x:v>
      </x:c>
      <x:c r="X6" s="308" t="str">
        <x:v>Nuevo recomendado</x:v>
      </x:c>
      <x:c r="Y6" s="308"/>
      <x:c r="Z6" s="308" t="str">
        <x:v>https://www.caixinglobal.com/</x:v>
      </x:c>
      <x:c r="AA6" s="310" t="n">
        <x:v>46219</x:v>
      </x:c>
    </x:row>
    <x:row r="7">
      <x:c r="A7" s="309" t="n">
        <x:v>47</x:v>
      </x:c>
      <x:c r="B7" s="312" t="str">
        <x:v>Nikkei Asia</x:v>
      </x:c>
      <x:c r="C7" s="313" t="str">
        <x:v>https://asia.nikkei.com/</x:v>
      </x:c>
      <x:c r="D7" s="308" t="str">
        <x:v>Japón; alcance asiático</x:v>
      </x:c>
      <x:c r="E7" s="404" t="str">
        <x:v>Asia</x:v>
      </x:c>
      <x:c r="F7" s="308" t="str">
        <x:v>Inglés</x:v>
      </x:c>
      <x:c r="G7" s="308" t="str">
        <x:v>Medio económico regional</x:v>
      </x:c>
      <x:c r="H7" s="308" t="str">
        <x:v>Empresas, economía y geopolítica asiática</x:v>
      </x:c>
      <x:c r="I7" s="308" t="str">
        <x:v>Privado comercial</x:v>
      </x:c>
      <x:c r="J7" s="308" t="str">
        <x:v>Privado</x:v>
      </x:c>
      <x:c r="K7" s="308" t="str">
        <x:v>Centro / promercado</x:v>
      </x:c>
      <x:c r="L7" s="308" t="str">
        <x:v>Japonesa / asiática</x:v>
      </x:c>
      <x:c r="M7" s="309" t="n">
        <x:v>5</x:v>
      </x:c>
      <x:c r="N7" s="309" t="n">
        <x:v>4</x:v>
      </x:c>
      <x:c r="O7" s="309" t="n">
        <x:v>4</x:v>
      </x:c>
      <x:c r="P7" s="309" t="n">
        <x:v>5</x:v>
      </x:c>
      <x:c r="Q7" s="309" t="n">
        <x:v>5</x:v>
      </x:c>
      <x:c r="R7" s="309" t="n">
        <x:v>4</x:v>
      </x:c>
      <x:c r="S7" s="311" t="n">
        <x:v>4.5</x:v>
      </x:c>
      <x:c r="T7" s="309" t="str">
        <x:v>Alta</x:v>
      </x:c>
      <x:c r="U7" s="308" t="str">
        <x:v>Asia, cadenas de suministro y geoeconomía</x:v>
      </x:c>
      <x:c r="V7" s="308" t="str">
        <x:v>Moderada</x:v>
      </x:c>
      <x:c r="W7" s="308" t="str">
        <x:v>Reuters, Bloomberg y medios locales</x:v>
      </x:c>
      <x:c r="X7" s="308" t="str">
        <x:v>Nuevo recomendado</x:v>
      </x:c>
      <x:c r="Y7" s="308"/>
      <x:c r="Z7" s="308" t="str">
        <x:v>https://asia.nikkei.com/</x:v>
      </x:c>
      <x:c r="AA7" s="310" t="n">
        <x:v>46219</x:v>
      </x:c>
    </x:row>
    <x:row r="8">
      <x:c r="A8" s="309" t="n">
        <x:v>53</x:v>
      </x:c>
      <x:c r="B8" s="312" t="str">
        <x:v>South China Morning Post</x:v>
      </x:c>
      <x:c r="C8" s="313" t="str">
        <x:v>https://www.scmp.com/</x:v>
      </x:c>
      <x:c r="D8" s="308" t="str">
        <x:v>Hong Kong</x:v>
      </x:c>
      <x:c r="E8" s="404" t="str">
        <x:v>Asia</x:v>
      </x:c>
      <x:c r="F8" s="308" t="str">
        <x:v>Inglés/Chino</x:v>
      </x:c>
      <x:c r="G8" s="308" t="str">
        <x:v>Medio regional</x:v>
      </x:c>
      <x:c r="H8" s="308" t="str">
        <x:v>Noticias de China y Asia</x:v>
      </x:c>
      <x:c r="I8" s="308" t="str">
        <x:v>Privado comercial</x:v>
      </x:c>
      <x:c r="J8" s="308" t="str">
        <x:v>Privado</x:v>
      </x:c>
      <x:c r="K8" s="308" t="str">
        <x:v>Centro; sensibilidad al entorno chino</x:v>
      </x:c>
      <x:c r="L8" s="308" t="str">
        <x:v>Hong Kong / China</x:v>
      </x:c>
      <x:c r="M8" s="309" t="n">
        <x:v>4</x:v>
      </x:c>
      <x:c r="N8" s="309" t="n">
        <x:v>3</x:v>
      </x:c>
      <x:c r="O8" s="309" t="n">
        <x:v>3</x:v>
      </x:c>
      <x:c r="P8" s="309" t="n">
        <x:v>4</x:v>
      </x:c>
      <x:c r="Q8" s="309" t="n">
        <x:v>4</x:v>
      </x:c>
      <x:c r="R8" s="309" t="n">
        <x:v>4</x:v>
      </x:c>
      <x:c r="S8" s="311" t="n">
        <x:v>3.7</x:v>
      </x:c>
      <x:c r="T8" s="309" t="str">
        <x:v>Media-alta</x:v>
      </x:c>
      <x:c r="U8" s="308" t="str">
        <x:v>China, Hong Kong y Asia</x:v>
      </x:c>
      <x:c r="V8" s="308" t="str">
        <x:v>Moderada-alta</x:v>
      </x:c>
      <x:c r="W8" s="308" t="str">
        <x:v>Reuters, Nikkei, Caixin y medios internacionales</x:v>
      </x:c>
      <x:c r="X8" s="308" t="str">
        <x:v>Nuevo recomendado</x:v>
      </x:c>
      <x:c r="Y8" s="308"/>
      <x:c r="Z8" s="308" t="str">
        <x:v>https://www.scmp.com/</x:v>
      </x:c>
      <x:c r="AA8" s="310" t="n">
        <x:v>46219</x:v>
      </x:c>
    </x:row>
    <x:row r="9">
      <x:c r="A9" s="309" t="n">
        <x:v>50</x:v>
      </x:c>
      <x:c r="B9" s="312" t="str">
        <x:v>Kyodo News</x:v>
      </x:c>
      <x:c r="C9" s="313" t="str">
        <x:v>https://english.kyodonews.net/</x:v>
      </x:c>
      <x:c r="D9" s="308" t="str">
        <x:v>Japón</x:v>
      </x:c>
      <x:c r="E9" s="404" t="str">
        <x:v>Asia</x:v>
      </x:c>
      <x:c r="F9" s="308" t="str">
        <x:v>Japonés/Inglés</x:v>
      </x:c>
      <x:c r="G9" s="308" t="str">
        <x:v>Agencia de noticias</x:v>
      </x:c>
      <x:c r="H9" s="308" t="str">
        <x:v>Noticias nacionales e internacionales</x:v>
      </x:c>
      <x:c r="I9" s="308" t="str">
        <x:v>Cooperativa de prensa</x:v>
      </x:c>
      <x:c r="J9" s="308" t="str">
        <x:v>Cooperativo</x:v>
      </x:c>
      <x:c r="K9" s="308" t="str">
        <x:v>Centro</x:v>
      </x:c>
      <x:c r="L9" s="308" t="str">
        <x:v>Japonesa</x:v>
      </x:c>
      <x:c r="M9" s="309" t="n">
        <x:v>5</x:v>
      </x:c>
      <x:c r="N9" s="309" t="n">
        <x:v>5</x:v>
      </x:c>
      <x:c r="O9" s="309" t="n">
        <x:v>5</x:v>
      </x:c>
      <x:c r="P9" s="309" t="n">
        <x:v>5</x:v>
      </x:c>
      <x:c r="Q9" s="309" t="n">
        <x:v>4</x:v>
      </x:c>
      <x:c r="R9" s="309" t="n">
        <x:v>5</x:v>
      </x:c>
      <x:c r="S9" s="311" t="n">
        <x:v>4.8</x:v>
      </x:c>
      <x:c r="T9" s="309" t="str">
        <x:v>Alta</x:v>
      </x:c>
      <x:c r="U9" s="308" t="str">
        <x:v>Japón y Asia Oriental</x:v>
      </x:c>
      <x:c r="V9" s="308" t="str">
        <x:v>Baja a moderada</x:v>
      </x:c>
      <x:c r="W9" s="308" t="str">
        <x:v>Reuters/AP y documentos oficiales</x:v>
      </x:c>
      <x:c r="X9" s="308" t="str">
        <x:v>Nuevo recomendado</x:v>
      </x:c>
      <x:c r="Y9" s="308"/>
      <x:c r="Z9" s="308" t="str">
        <x:v>https://english.kyodonews.net/</x:v>
      </x:c>
      <x:c r="AA9" s="310" t="n">
        <x:v>46219</x:v>
      </x:c>
    </x:row>
    <x:row r="10">
      <x:c r="A10" s="309" t="n">
        <x:v>51</x:v>
      </x:c>
      <x:c r="B10" s="312" t="str">
        <x:v>Yonhap News Agency</x:v>
      </x:c>
      <x:c r="C10" s="313" t="str">
        <x:v>https://en.yna.co.kr/</x:v>
      </x:c>
      <x:c r="D10" s="308" t="str">
        <x:v>Corea del Sur</x:v>
      </x:c>
      <x:c r="E10" s="404" t="str">
        <x:v>Asia</x:v>
      </x:c>
      <x:c r="F10" s="308" t="str">
        <x:v>Coreano/Inglés</x:v>
      </x:c>
      <x:c r="G10" s="308" t="str">
        <x:v>Agencia de noticias</x:v>
      </x:c>
      <x:c r="H10" s="308" t="str">
        <x:v>Noticias nacionales y regionales</x:v>
      </x:c>
      <x:c r="I10" s="308" t="str">
        <x:v>Agencia con apoyo público</x:v>
      </x:c>
      <x:c r="J10" s="308" t="str">
        <x:v>Institucional</x:v>
      </x:c>
      <x:c r="K10" s="308" t="str">
        <x:v>Centro / institucional</x:v>
      </x:c>
      <x:c r="L10" s="308" t="str">
        <x:v>Surcoreana</x:v>
      </x:c>
      <x:c r="M10" s="309" t="n">
        <x:v>4</x:v>
      </x:c>
      <x:c r="N10" s="309" t="n">
        <x:v>3</x:v>
      </x:c>
      <x:c r="O10" s="309" t="n">
        <x:v>4</x:v>
      </x:c>
      <x:c r="P10" s="309" t="n">
        <x:v>4</x:v>
      </x:c>
      <x:c r="Q10" s="309" t="n">
        <x:v>4</x:v>
      </x:c>
      <x:c r="R10" s="309" t="n">
        <x:v>5</x:v>
      </x:c>
      <x:c r="S10" s="311" t="n">
        <x:v>4</x:v>
      </x:c>
      <x:c r="T10" s="309" t="str">
        <x:v>Media-alta</x:v>
      </x:c>
      <x:c r="U10" s="308" t="str">
        <x:v>Corea y península coreana</x:v>
      </x:c>
      <x:c r="V10" s="308" t="str">
        <x:v>Moderada</x:v>
      </x:c>
      <x:c r="W10" s="308" t="str">
        <x:v>Reuters, KCNA como fuente primaria y medios regionales</x:v>
      </x:c>
      <x:c r="X10" s="308" t="str">
        <x:v>Nuevo recomendado</x:v>
      </x:c>
      <x:c r="Y10" s="308"/>
      <x:c r="Z10" s="308" t="str">
        <x:v>https://en.yna.co.kr/</x:v>
      </x:c>
      <x:c r="AA10" s="310" t="n">
        <x:v>46219</x:v>
      </x:c>
    </x:row>
    <x:row r="11">
      <x:c r="A11" s="309" t="n">
        <x:v>54</x:v>
      </x:c>
      <x:c r="B11" s="312" t="str">
        <x:v>The Hindu</x:v>
      </x:c>
      <x:c r="C11" s="313" t="str">
        <x:v>https://www.thehindu.com/</x:v>
      </x:c>
      <x:c r="D11" s="308" t="str">
        <x:v>India</x:v>
      </x:c>
      <x:c r="E11" s="404" t="str">
        <x:v>Asia</x:v>
      </x:c>
      <x:c r="F11" s="308" t="str">
        <x:v>Inglés</x:v>
      </x:c>
      <x:c r="G11" s="308" t="str">
        <x:v>Medio generalista</x:v>
      </x:c>
      <x:c r="H11" s="308" t="str">
        <x:v>Noticias y análisis</x:v>
      </x:c>
      <x:c r="I11" s="308" t="str">
        <x:v>Privado comercial</x:v>
      </x:c>
      <x:c r="J11" s="308" t="str">
        <x:v>Privado</x:v>
      </x:c>
      <x:c r="K11" s="308" t="str">
        <x:v>Centro-izquierda / institucional</x:v>
      </x:c>
      <x:c r="L11" s="308" t="str">
        <x:v>India</x:v>
      </x:c>
      <x:c r="M11" s="309" t="n">
        <x:v>4</x:v>
      </x:c>
      <x:c r="N11" s="309" t="n">
        <x:v>4</x:v>
      </x:c>
      <x:c r="O11" s="309" t="n">
        <x:v>4</x:v>
      </x:c>
      <x:c r="P11" s="309" t="n">
        <x:v>4</x:v>
      </x:c>
      <x:c r="Q11" s="309" t="n">
        <x:v>4</x:v>
      </x:c>
      <x:c r="R11" s="309" t="n">
        <x:v>4</x:v>
      </x:c>
      <x:c r="S11" s="311" t="n">
        <x:v>4</x:v>
      </x:c>
      <x:c r="T11" s="309" t="str">
        <x:v>Media-alta</x:v>
      </x:c>
      <x:c r="U11" s="308" t="str">
        <x:v>India y Asia del Sur</x:v>
      </x:c>
      <x:c r="V11" s="308" t="str">
        <x:v>Moderada</x:v>
      </x:c>
      <x:c r="W11" s="308" t="str">
        <x:v>Reuters, PTI y medios regionales</x:v>
      </x:c>
      <x:c r="X11" s="308" t="str">
        <x:v>Nuevo recomendado</x:v>
      </x:c>
      <x:c r="Y11" s="308"/>
      <x:c r="Z11" s="308" t="str">
        <x:v>https://www.thehindu.com/</x:v>
      </x:c>
      <x:c r="AA11" s="310" t="n">
        <x:v>46219</x:v>
      </x:c>
    </x:row>
    <x:row r="12">
      <x:c r="A12" s="309" t="n">
        <x:v>48</x:v>
      </x:c>
      <x:c r="B12" s="312" t="str">
        <x:v>CNA</x:v>
      </x:c>
      <x:c r="C12" s="313" t="str">
        <x:v>https://www.channelnewsasia.com/</x:v>
      </x:c>
      <x:c r="D12" s="308" t="str">
        <x:v>Singapur; alcance regional</x:v>
      </x:c>
      <x:c r="E12" s="404" t="str">
        <x:v>Asia</x:v>
      </x:c>
      <x:c r="F12" s="308" t="str">
        <x:v>Inglés y lenguas regionales</x:v>
      </x:c>
      <x:c r="G12" s="308" t="str">
        <x:v>Radiodifusor regional</x:v>
      </x:c>
      <x:c r="H12" s="308" t="str">
        <x:v>Noticias y análisis del Sudeste Asiático</x:v>
      </x:c>
      <x:c r="I12" s="308" t="str">
        <x:v>Empresa de medios con vínculo público</x:v>
      </x:c>
      <x:c r="J12" s="308" t="str">
        <x:v>Público/comercial</x:v>
      </x:c>
      <x:c r="K12" s="308" t="str">
        <x:v>Centro / institucional</x:v>
      </x:c>
      <x:c r="L12" s="308" t="str">
        <x:v>Singapur / ASEAN</x:v>
      </x:c>
      <x:c r="M12" s="309" t="n">
        <x:v>4</x:v>
      </x:c>
      <x:c r="N12" s="309" t="n">
        <x:v>3</x:v>
      </x:c>
      <x:c r="O12" s="309" t="n">
        <x:v>4</x:v>
      </x:c>
      <x:c r="P12" s="309" t="n">
        <x:v>4</x:v>
      </x:c>
      <x:c r="Q12" s="309" t="n">
        <x:v>4</x:v>
      </x:c>
      <x:c r="R12" s="309" t="n">
        <x:v>5</x:v>
      </x:c>
      <x:c r="S12" s="311" t="n">
        <x:v>4</x:v>
      </x:c>
      <x:c r="T12" s="309" t="str">
        <x:v>Media-alta</x:v>
      </x:c>
      <x:c r="U12" s="308" t="str">
        <x:v>Sudeste Asiático y ASEAN</x:v>
      </x:c>
      <x:c r="V12" s="308" t="str">
        <x:v>Moderada</x:v>
      </x:c>
      <x:c r="W12" s="308" t="str">
        <x:v>Reuters, medios nacionales y fuentes locales</x:v>
      </x:c>
      <x:c r="X12" s="308" t="str">
        <x:v>Nuevo recomendado</x:v>
      </x:c>
      <x:c r="Y12" s="308"/>
      <x:c r="Z12" s="308" t="str">
        <x:v>https://www.channelnewsasia.com/</x:v>
      </x:c>
      <x:c r="AA12" s="310" t="n">
        <x:v>46219</x:v>
      </x:c>
    </x:row>
    <x:row r="13">
      <x:c r="A13" s="309" t="n">
        <x:v>55</x:v>
      </x:c>
      <x:c r="B13" s="312" t="str">
        <x:v>Dawn</x:v>
      </x:c>
      <x:c r="C13" s="313" t="str">
        <x:v>https://www.dawn.com/</x:v>
      </x:c>
      <x:c r="D13" s="308" t="str">
        <x:v>Pakistán</x:v>
      </x:c>
      <x:c r="E13" s="404" t="str">
        <x:v>Asia</x:v>
      </x:c>
      <x:c r="F13" s="308" t="str">
        <x:v>Inglés</x:v>
      </x:c>
      <x:c r="G13" s="308" t="str">
        <x:v>Medio generalista</x:v>
      </x:c>
      <x:c r="H13" s="308" t="str">
        <x:v>Noticias y opinión</x:v>
      </x:c>
      <x:c r="I13" s="308" t="str">
        <x:v>Privado comercial</x:v>
      </x:c>
      <x:c r="J13" s="308" t="str">
        <x:v>Privado</x:v>
      </x:c>
      <x:c r="K13" s="308" t="str">
        <x:v>Centro liberal</x:v>
      </x:c>
      <x:c r="L13" s="308" t="str">
        <x:v>Pakistán / Asia del Sur</x:v>
      </x:c>
      <x:c r="M13" s="309" t="n">
        <x:v>4</x:v>
      </x:c>
      <x:c r="N13" s="309" t="n">
        <x:v>4</x:v>
      </x:c>
      <x:c r="O13" s="309" t="n">
        <x:v>4</x:v>
      </x:c>
      <x:c r="P13" s="309" t="n">
        <x:v>4</x:v>
      </x:c>
      <x:c r="Q13" s="309" t="n">
        <x:v>4</x:v>
      </x:c>
      <x:c r="R13" s="309" t="n">
        <x:v>4</x:v>
      </x:c>
      <x:c r="S13" s="311" t="n">
        <x:v>4</x:v>
      </x:c>
      <x:c r="T13" s="309" t="str">
        <x:v>Media-alta</x:v>
      </x:c>
      <x:c r="U13" s="308" t="str">
        <x:v>Pakistán, Afganistán y Asia del Sur</x:v>
      </x:c>
      <x:c r="V13" s="308" t="str">
        <x:v>Moderada</x:v>
      </x:c>
      <x:c r="W13" s="308" t="str">
        <x:v>Reuters, medios locales y fuentes oficiales</x:v>
      </x:c>
      <x:c r="X13" s="308" t="str">
        <x:v>Nuevo recomendado</x:v>
      </x:c>
      <x:c r="Y13" s="308"/>
      <x:c r="Z13" s="308" t="str">
        <x:v>https://www.dawn.com/</x:v>
      </x:c>
      <x:c r="AA13" s="310" t="n">
        <x:v>46219</x:v>
      </x:c>
    </x:row>
    <x:row r="14">
      <x:c r="A14" s="309" t="n">
        <x:v>46</x:v>
      </x:c>
      <x:c r="B14" s="312" t="str">
        <x:v>Xinhua News Agency</x:v>
      </x:c>
      <x:c r="C14" s="313" t="str">
        <x:v>https://english.news.cn/</x:v>
      </x:c>
      <x:c r="D14" s="308" t="str">
        <x:v>China; red global</x:v>
      </x:c>
      <x:c r="E14" s="404" t="str">
        <x:v>Asia/Global</x:v>
      </x:c>
      <x:c r="F14" s="308" t="str">
        <x:v>Chino/Inglés</x:v>
      </x:c>
      <x:c r="G14" s="308" t="str">
        <x:v>Agencia estatal</x:v>
      </x:c>
      <x:c r="H14" s="308" t="str">
        <x:v>Noticias y comunicación oficial</x:v>
      </x:c>
      <x:c r="I14" s="308" t="str">
        <x:v>Financiación estatal china</x:v>
      </x:c>
      <x:c r="J14" s="308" t="str">
        <x:v>Estatal</x:v>
      </x:c>
      <x:c r="K14" s="308" t="str">
        <x:v>Línea oficial</x:v>
      </x:c>
      <x:c r="L14" s="308" t="str">
        <x:v>China estatal</x:v>
      </x:c>
      <x:c r="M14" s="309" t="n">
        <x:v>3</x:v>
      </x:c>
      <x:c r="N14" s="309" t="n">
        <x:v>1</x:v>
      </x:c>
      <x:c r="O14" s="309" t="n">
        <x:v>4</x:v>
      </x:c>
      <x:c r="P14" s="309" t="n">
        <x:v>3</x:v>
      </x:c>
      <x:c r="Q14" s="309" t="n">
        <x:v>2</x:v>
      </x:c>
      <x:c r="R14" s="309" t="n">
        <x:v>2</x:v>
      </x:c>
      <x:c r="S14" s="311" t="n">
        <x:v>2.5</x:v>
      </x:c>
      <x:c r="T14" s="309" t="str">
        <x:v>Baja</x:v>
      </x:c>
      <x:c r="U14" s="308" t="str">
        <x:v>Posiciones oficiales y datos publicados por China</x:v>
      </x:c>
      <x:c r="V14" s="308" t="str">
        <x:v>Obligatoria</x:v>
      </x:c>
      <x:c r="W14" s="308" t="str">
        <x:v>Reuters/AP, Caixin, Nikkei y documentos</x:v>
      </x:c>
      <x:c r="X14" s="308" t="str">
        <x:v>Uso condicionado</x:v>
      </x:c>
      <x:c r="Y14" s="308"/>
      <x:c r="Z14" s="308" t="str">
        <x:v>https://english.news.cn/</x:v>
      </x:c>
      <x:c r="AA14" s="310" t="n">
        <x:v>46219</x:v>
      </x:c>
    </x:row>
    <x:row r="15">
      <x:c r="A15" s="309" t="n">
        <x:v>49</x:v>
      </x:c>
      <x:c r="B15" s="312" t="str">
        <x:v>NHK World-Japan</x:v>
      </x:c>
      <x:c r="C15" s="313" t="str">
        <x:v>https://www3.nhk.or.jp/nhkworld/</x:v>
      </x:c>
      <x:c r="D15" s="308" t="str">
        <x:v>Japón; alcance global</x:v>
      </x:c>
      <x:c r="E15" s="404" t="str">
        <x:v>Asia/Global</x:v>
      </x:c>
      <x:c r="F15" s="308" t="str">
        <x:v>Multilingüe</x:v>
      </x:c>
      <x:c r="G15" s="308" t="str">
        <x:v>Radiodifusor público internacional</x:v>
      </x:c>
      <x:c r="H15" s="308" t="str">
        <x:v>Noticias y contexto</x:v>
      </x:c>
      <x:c r="I15" s="308" t="str">
        <x:v>Financiación pública</x:v>
      </x:c>
      <x:c r="J15" s="308" t="str">
        <x:v>Público</x:v>
      </x:c>
      <x:c r="K15" s="308" t="str">
        <x:v>Centro / institucional</x:v>
      </x:c>
      <x:c r="L15" s="308" t="str">
        <x:v>Japonesa</x:v>
      </x:c>
      <x:c r="M15" s="309" t="n">
        <x:v>4</x:v>
      </x:c>
      <x:c r="N15" s="309" t="n">
        <x:v>4</x:v>
      </x:c>
      <x:c r="O15" s="309" t="n">
        <x:v>5</x:v>
      </x:c>
      <x:c r="P15" s="309" t="n">
        <x:v>4</x:v>
      </x:c>
      <x:c r="Q15" s="309" t="n">
        <x:v>4</x:v>
      </x:c>
      <x:c r="R15" s="309" t="n">
        <x:v>5</x:v>
      </x:c>
      <x:c r="S15" s="311" t="n">
        <x:v>4.3</x:v>
      </x:c>
      <x:c r="T15" s="309" t="str">
        <x:v>Alta</x:v>
      </x:c>
      <x:c r="U15" s="308" t="str">
        <x:v>Japón y Asia Oriental</x:v>
      </x:c>
      <x:c r="V15" s="308" t="str">
        <x:v>Moderada</x:v>
      </x:c>
      <x:c r="W15" s="308" t="str">
        <x:v>Kyodo, Reuters y medios regionales</x:v>
      </x:c>
      <x:c r="X15" s="308" t="str">
        <x:v>Nuevo recomendado</x:v>
      </x:c>
      <x:c r="Y15" s="308"/>
      <x:c r="Z15" s="308" t="str">
        <x:v>https://www3.nhk.or.jp/nhkworld/</x:v>
      </x:c>
      <x:c r="AA15" s="310" t="n">
        <x:v>46219</x:v>
      </x:c>
    </x:row>
    <x:row r="16">
      <x:c r="A16" s="309" t="n">
        <x:v>44</x:v>
      </x:c>
      <x:c r="B16" s="312" t="str">
        <x:v>CGTN</x:v>
      </x:c>
      <x:c r="C16" s="313" t="str">
        <x:v>https://www.cgtn.com/</x:v>
      </x:c>
      <x:c r="D16" s="308" t="str">
        <x:v>China; alcance internacional</x:v>
      </x:c>
      <x:c r="E16" s="404" t="str">
        <x:v>Asia/Global</x:v>
      </x:c>
      <x:c r="F16" s="308" t="str">
        <x:v>Inglés y otros</x:v>
      </x:c>
      <x:c r="G16" s="308" t="str">
        <x:v>Medio estatal internacional</x:v>
      </x:c>
      <x:c r="H16" s="308" t="str">
        <x:v>Noticias y narrativa oficial</x:v>
      </x:c>
      <x:c r="I16" s="308" t="str">
        <x:v>Financiación estatal china</x:v>
      </x:c>
      <x:c r="J16" s="308" t="str">
        <x:v>Estatal</x:v>
      </x:c>
      <x:c r="K16" s="308" t="str">
        <x:v>Línea oficial</x:v>
      </x:c>
      <x:c r="L16" s="308" t="str">
        <x:v>China estatal</x:v>
      </x:c>
      <x:c r="M16" s="309" t="n">
        <x:v>3</x:v>
      </x:c>
      <x:c r="N16" s="309" t="n">
        <x:v>1</x:v>
      </x:c>
      <x:c r="O16" s="309" t="n">
        <x:v>4</x:v>
      </x:c>
      <x:c r="P16" s="309" t="n">
        <x:v>3</x:v>
      </x:c>
      <x:c r="Q16" s="309" t="n">
        <x:v>2</x:v>
      </x:c>
      <x:c r="R16" s="309" t="n">
        <x:v>2</x:v>
      </x:c>
      <x:c r="S16" s="311" t="n">
        <x:v>2.5</x:v>
      </x:c>
      <x:c r="T16" s="309" t="str">
        <x:v>Baja</x:v>
      </x:c>
      <x:c r="U16" s="308" t="str">
        <x:v>Conocer la posición y narrativa oficial china</x:v>
      </x:c>
      <x:c r="V16" s="308" t="str">
        <x:v>Obligatoria</x:v>
      </x:c>
      <x:c r="W16" s="308" t="str">
        <x:v>Reuters/AP, medios asiáticos independientes y documentos</x:v>
      </x:c>
      <x:c r="X16" s="308" t="str">
        <x:v>Uso condicionado</x:v>
      </x:c>
      <x:c r="Y16" s="308" t="str">
        <x:v>No clasificar simplemente como inútil: es fuente primaria de narrativa estatal.</x:v>
      </x:c>
      <x:c r="Z16" s="308" t="str">
        <x:v>https://www.cgtn.com/</x:v>
      </x:c>
      <x:c r="AA16" s="310" t="n">
        <x:v>46219</x:v>
      </x:c>
    </x:row>
    <x:row r="17">
      <x:c r="A17" s="309" t="n">
        <x:v>72</x:v>
      </x:c>
      <x:c r="B17" s="312" t="str">
        <x:v>The Kyiv Independent</x:v>
      </x:c>
      <x:c r="C17" s="313" t="str">
        <x:v>https://kyivindependent.com/</x:v>
      </x:c>
      <x:c r="D17" s="308" t="str">
        <x:v>Ucrania</x:v>
      </x:c>
      <x:c r="E17" s="404" t="str">
        <x:v>Europa Oriental</x:v>
      </x:c>
      <x:c r="F17" s="308" t="str">
        <x:v>Inglés</x:v>
      </x:c>
      <x:c r="G17" s="308" t="str">
        <x:v>Medio independiente</x:v>
      </x:c>
      <x:c r="H17" s="308" t="str">
        <x:v>Noticias e investigación</x:v>
      </x:c>
      <x:c r="I17" s="308" t="str">
        <x:v>Independiente / membresías y donaciones</x:v>
      </x:c>
      <x:c r="J17" s="308" t="str">
        <x:v>Independiente</x:v>
      </x:c>
      <x:c r="K17" s="308" t="str">
        <x:v>Pro-ucraniano</x:v>
      </x:c>
      <x:c r="L17" s="308" t="str">
        <x:v>Ucraniana</x:v>
      </x:c>
      <x:c r="M17" s="309" t="n">
        <x:v>4</x:v>
      </x:c>
      <x:c r="N17" s="309" t="n">
        <x:v>4</x:v>
      </x:c>
      <x:c r="O17" s="309" t="n">
        <x:v>4</x:v>
      </x:c>
      <x:c r="P17" s="309" t="n">
        <x:v>4</x:v>
      </x:c>
      <x:c r="Q17" s="309" t="n">
        <x:v>4</x:v>
      </x:c>
      <x:c r="R17" s="309" t="n">
        <x:v>4</x:v>
      </x:c>
      <x:c r="S17" s="311" t="n">
        <x:v>4</x:v>
      </x:c>
      <x:c r="T17" s="309" t="str">
        <x:v>Media-alta</x:v>
      </x:c>
      <x:c r="U17" s="308" t="str">
        <x:v>Ucrania y guerra ruso-ucraniana</x:v>
      </x:c>
      <x:c r="V17" s="308" t="str">
        <x:v>Alta en afirmaciones operativas</x:v>
      </x:c>
      <x:c r="W17" s="308" t="str">
        <x:v>Reuters/AP, ONU, OSINT y fuentes rusas independientes</x:v>
      </x:c>
      <x:c r="X17" s="308" t="str">
        <x:v>Nuevo recomendado</x:v>
      </x:c>
      <x:c r="Y17" s="308"/>
      <x:c r="Z17" s="308" t="str">
        <x:v>https://kyivindependent.com/</x:v>
      </x:c>
      <x:c r="AA17" s="310" t="n">
        <x:v>46219</x:v>
      </x:c>
    </x:row>
    <x:row r="18">
      <x:c r="A18" s="309" t="n">
        <x:v>38</x:v>
      </x:c>
      <x:c r="B18" s="312" t="str">
        <x:v>Le Grand Continent</x:v>
      </x:c>
      <x:c r="C18" s="313" t="str">
        <x:v>https://legrandcontinent.eu/</x:v>
      </x:c>
      <x:c r="D18" s="308" t="str">
        <x:v>Francia / Europa</x:v>
      </x:c>
      <x:c r="E18" s="404" t="str">
        <x:v>Europa/Global</x:v>
      </x:c>
      <x:c r="F18" s="308" t="str">
        <x:v>Francés y otros</x:v>
      </x:c>
      <x:c r="G18" s="308" t="str">
        <x:v>Revista de ideas / think tank</x:v>
      </x:c>
      <x:c r="H18" s="308" t="str">
        <x:v>Ensayo, análisis y debate intelectual</x:v>
      </x:c>
      <x:c r="I18" s="308" t="str">
        <x:v>Organización intelectual</x:v>
      </x:c>
      <x:c r="J18" s="308" t="str">
        <x:v>ONG/intelectual</x:v>
      </x:c>
      <x:c r="K18" s="308" t="str">
        <x:v>Europeísta</x:v>
      </x:c>
      <x:c r="L18" s="308" t="str">
        <x:v>Europa continental</x:v>
      </x:c>
      <x:c r="M18" s="309" t="n">
        <x:v>4</x:v>
      </x:c>
      <x:c r="N18" s="309" t="n">
        <x:v>4</x:v>
      </x:c>
      <x:c r="O18" s="309" t="n">
        <x:v>4</x:v>
      </x:c>
      <x:c r="P18" s="309" t="n">
        <x:v>4</x:v>
      </x:c>
      <x:c r="Q18" s="309" t="n">
        <x:v>3</x:v>
      </x:c>
      <x:c r="R18" s="309" t="n">
        <x:v>4</x:v>
      </x:c>
      <x:c r="S18" s="311" t="n">
        <x:v>3.8</x:v>
      </x:c>
      <x:c r="T18" s="309" t="str">
        <x:v>Media-alta</x:v>
      </x:c>
      <x:c r="U18" s="308" t="str">
        <x:v>Debate estratégico europeo y largo formato</x:v>
      </x:c>
      <x:c r="V18" s="308" t="str">
        <x:v>Moderada</x:v>
      </x:c>
      <x:c r="W18" s="308" t="str">
        <x:v>Datos, prensa y autores con enfoques distintos</x:v>
      </x:c>
      <x:c r="X18" s="308" t="str">
        <x:v>Activo</x:v>
      </x:c>
      <x:c r="Y18" s="308"/>
      <x:c r="Z18" s="308" t="str">
        <x:v>https://legrandcontinent.eu/</x:v>
      </x:c>
      <x:c r="AA18" s="310" t="n">
        <x:v>46219</x:v>
      </x:c>
    </x:row>
    <x:row r="19">
      <x:c r="A19" s="309" t="n">
        <x:v>41</x:v>
      </x:c>
      <x:c r="B19" s="312" t="str">
        <x:v>Sciences Po - CERI</x:v>
      </x:c>
      <x:c r="C19" s="313" t="str">
        <x:v>https://www.sciencespo.fr/ceri/en/</x:v>
      </x:c>
      <x:c r="D19" s="308" t="str">
        <x:v>Francia</x:v>
      </x:c>
      <x:c r="E19" s="404" t="str">
        <x:v>Europa/Global</x:v>
      </x:c>
      <x:c r="F19" s="308" t="str">
        <x:v>Francés/Inglés</x:v>
      </x:c>
      <x:c r="G19" s="308" t="str">
        <x:v>Centro académico</x:v>
      </x:c>
      <x:c r="H19" s="308" t="str">
        <x:v>Investigación en relaciones internacionales</x:v>
      </x:c>
      <x:c r="I19" s="308" t="str">
        <x:v>Académica</x:v>
      </x:c>
      <x:c r="J19" s="308" t="str">
        <x:v>Académico</x:v>
      </x:c>
      <x:c r="K19" s="308" t="str">
        <x:v>Plural</x:v>
      </x:c>
      <x:c r="L19" s="308" t="str">
        <x:v>Francesa / europea</x:v>
      </x:c>
      <x:c r="M19" s="309" t="n">
        <x:v>5</x:v>
      </x:c>
      <x:c r="N19" s="309" t="n">
        <x:v>5</x:v>
      </x:c>
      <x:c r="O19" s="309" t="n">
        <x:v>5</x:v>
      </x:c>
      <x:c r="P19" s="309" t="n">
        <x:v>5</x:v>
      </x:c>
      <x:c r="Q19" s="309" t="n">
        <x:v>4</x:v>
      </x:c>
      <x:c r="R19" s="309" t="n">
        <x:v>5</x:v>
      </x:c>
      <x:c r="S19" s="311" t="n">
        <x:v>4.8</x:v>
      </x:c>
      <x:c r="T19" s="309" t="str">
        <x:v>Alta</x:v>
      </x:c>
      <x:c r="U19" s="308" t="str">
        <x:v>Investigación académica y contexto histórico</x:v>
      </x:c>
      <x:c r="V19" s="308" t="str">
        <x:v>Baja a moderada</x:v>
      </x:c>
      <x:c r="W19" s="308" t="str">
        <x:v>Literatura académica y datos primarios</x:v>
      </x:c>
      <x:c r="X19" s="308" t="str">
        <x:v>Activo</x:v>
      </x:c>
      <x:c r="Y19" s="308"/>
      <x:c r="Z19" s="308" t="str">
        <x:v>https://www.sciencespo.fr/ceri/en/</x:v>
      </x:c>
      <x:c r="AA19" s="310" t="n">
        <x:v>46219</x:v>
      </x:c>
    </x:row>
    <x:row r="20">
      <x:c r="A20" s="309" t="n">
        <x:v>33</x:v>
      </x:c>
      <x:c r="B20" s="312" t="str">
        <x:v>ECFR</x:v>
      </x:c>
      <x:c r="C20" s="313" t="str">
        <x:v>https://ecfr.eu/</x:v>
      </x:c>
      <x:c r="D20" s="308" t="str">
        <x:v>Paneuropeo; oficinas en varias capitales</x:v>
      </x:c>
      <x:c r="E20" s="404" t="str">
        <x:v>Europa/Global</x:v>
      </x:c>
      <x:c r="F20" s="308" t="str">
        <x:v>Inglés y lenguas europeas</x:v>
      </x:c>
      <x:c r="G20" s="308" t="str">
        <x:v>Think tank</x:v>
      </x:c>
      <x:c r="H20" s="308" t="str">
        <x:v>Política exterior europea</x:v>
      </x:c>
      <x:c r="I20" s="308" t="str">
        <x:v>Organización sin fines de lucro</x:v>
      </x:c>
      <x:c r="J20" s="308" t="str">
        <x:v>ONG/think tank</x:v>
      </x:c>
      <x:c r="K20" s="308" t="str">
        <x:v>Europeísta liberal</x:v>
      </x:c>
      <x:c r="L20" s="308" t="str">
        <x:v>Europea estratégica</x:v>
      </x:c>
      <x:c r="M20" s="309" t="n">
        <x:v>4</x:v>
      </x:c>
      <x:c r="N20" s="309" t="n">
        <x:v>4</x:v>
      </x:c>
      <x:c r="O20" s="309" t="n">
        <x:v>5</x:v>
      </x:c>
      <x:c r="P20" s="309" t="n">
        <x:v>4</x:v>
      </x:c>
      <x:c r="Q20" s="309" t="n">
        <x:v>4</x:v>
      </x:c>
      <x:c r="R20" s="309" t="n">
        <x:v>5</x:v>
      </x:c>
      <x:c r="S20" s="311" t="n">
        <x:v>4.3</x:v>
      </x:c>
      <x:c r="T20" s="309" t="str">
        <x:v>Alta</x:v>
      </x:c>
      <x:c r="U20" s="308" t="str">
        <x:v>Política exterior y seguridad europea</x:v>
      </x:c>
      <x:c r="V20" s="308" t="str">
        <x:v>Moderada</x:v>
      </x:c>
      <x:c r="W20" s="308" t="str">
        <x:v>Instituciones UE, think tanks nacionales y datos</x:v>
      </x:c>
      <x:c r="X20" s="308" t="str">
        <x:v>Activo</x:v>
      </x:c>
      <x:c r="Y20" s="308" t="str">
        <x:v>Corregido: paneuropeo, no Reino Unido/Bélgica.</x:v>
      </x:c>
      <x:c r="Z20" s="308" t="str">
        <x:v>https://ecfr.eu/contact/</x:v>
      </x:c>
      <x:c r="AA20" s="310" t="n">
        <x:v>46219</x:v>
      </x:c>
    </x:row>
    <x:row r="21">
      <x:c r="A21" s="309" t="n">
        <x:v>32</x:v>
      </x:c>
      <x:c r="B21" s="312" t="str">
        <x:v>Chatham House</x:v>
      </x:c>
      <x:c r="C21" s="313" t="str">
        <x:v>https://www.chathamhouse.org/</x:v>
      </x:c>
      <x:c r="D21" s="308" t="str">
        <x:v>Reino Unido; alcance global</x:v>
      </x:c>
      <x:c r="E21" s="404" t="str">
        <x:v>Global</x:v>
      </x:c>
      <x:c r="F21" s="308" t="str">
        <x:v>Inglés</x:v>
      </x:c>
      <x:c r="G21" s="308" t="str">
        <x:v>Think tank</x:v>
      </x:c>
      <x:c r="H21" s="308" t="str">
        <x:v>Análisis de políticas</x:v>
      </x:c>
      <x:c r="I21" s="308" t="str">
        <x:v>Organización sin fines de lucro</x:v>
      </x:c>
      <x:c r="J21" s="308" t="str">
        <x:v>ONG/think tank</x:v>
      </x:c>
      <x:c r="K21" s="308" t="str">
        <x:v>Centrista institucional</x:v>
      </x:c>
      <x:c r="L21" s="308" t="str">
        <x:v>Británica / multilateral</x:v>
      </x:c>
      <x:c r="M21" s="309" t="n">
        <x:v>4</x:v>
      </x:c>
      <x:c r="N21" s="309" t="n">
        <x:v>4</x:v>
      </x:c>
      <x:c r="O21" s="309" t="n">
        <x:v>5</x:v>
      </x:c>
      <x:c r="P21" s="309" t="n">
        <x:v>5</x:v>
      </x:c>
      <x:c r="Q21" s="309" t="n">
        <x:v>4</x:v>
      </x:c>
      <x:c r="R21" s="309" t="n">
        <x:v>5</x:v>
      </x:c>
      <x:c r="S21" s="311" t="n">
        <x:v>4.5</x:v>
      </x:c>
      <x:c r="T21" s="309" t="str">
        <x:v>Alta</x:v>
      </x:c>
      <x:c r="U21" s="308" t="str">
        <x:v>Contexto estratégico y políticas públicas</x:v>
      </x:c>
      <x:c r="V21" s="308" t="str">
        <x:v>Moderada</x:v>
      </x:c>
      <x:c r="W21" s="308" t="str">
        <x:v>Datos primarios, trabajos académicos y otras escuelas</x:v>
      </x:c>
      <x:c r="X21" s="308" t="str">
        <x:v>Activo</x:v>
      </x:c>
      <x:c r="Y21" s="308"/>
      <x:c r="Z21" s="308" t="str">
        <x:v>https://www.chathamhouse.org/</x:v>
      </x:c>
      <x:c r="AA21" s="310" t="n">
        <x:v>46219</x:v>
      </x:c>
    </x:row>
    <x:row r="22">
      <x:c r="A22" s="309" t="n">
        <x:v>42</x:v>
      </x:c>
      <x:c r="B22" s="312" t="str">
        <x:v>Arms Control Association</x:v>
      </x:c>
      <x:c r="C22" s="313" t="str">
        <x:v>https://www.armscontrol.org/</x:v>
      </x:c>
      <x:c r="D22" s="308" t="str">
        <x:v>Estados Unidos; alcance global</x:v>
      </x:c>
      <x:c r="E22" s="404" t="str">
        <x:v>Global</x:v>
      </x:c>
      <x:c r="F22" s="308" t="str">
        <x:v>Inglés</x:v>
      </x:c>
      <x:c r="G22" s="308" t="str">
        <x:v>ONG especializada</x:v>
      </x:c>
      <x:c r="H22" s="308" t="str">
        <x:v>Análisis y advocacy sobre control de armas</x:v>
      </x:c>
      <x:c r="I22" s="308" t="str">
        <x:v>Organización sin fines de lucro</x:v>
      </x:c>
      <x:c r="J22" s="308" t="str">
        <x:v>ONG/advocacy</x:v>
      </x:c>
      <x:c r="K22" s="308" t="str">
        <x:v>No partidista; favorable al control de armas</x:v>
      </x:c>
      <x:c r="L22" s="308" t="str">
        <x:v>Control de armas / no proliferación</x:v>
      </x:c>
      <x:c r="M22" s="309" t="n">
        <x:v>4</x:v>
      </x:c>
      <x:c r="N22" s="309" t="n">
        <x:v>4</x:v>
      </x:c>
      <x:c r="O22" s="309" t="n">
        <x:v>5</x:v>
      </x:c>
      <x:c r="P22" s="309" t="n">
        <x:v>4</x:v>
      </x:c>
      <x:c r="Q22" s="309" t="n">
        <x:v>4</x:v>
      </x:c>
      <x:c r="R22" s="309" t="n">
        <x:v>5</x:v>
      </x:c>
      <x:c r="S22" s="311" t="n">
        <x:v>4.3</x:v>
      </x:c>
      <x:c r="T22" s="309" t="str">
        <x:v>Alta</x:v>
      </x:c>
      <x:c r="U22" s="308" t="str">
        <x:v>Cronologías, tratados y política de no proliferación</x:v>
      </x:c>
      <x:c r="V22" s="308" t="str">
        <x:v>Moderada</x:v>
      </x:c>
      <x:c r="W22" s="308" t="str">
        <x:v>OIEA, tratados y posiciones gubernamentales</x:v>
      </x:c>
      <x:c r="X22" s="308" t="str">
        <x:v>Activo</x:v>
      </x:c>
      <x:c r="Y22" s="308" t="str">
        <x:v>Reubicada: no es organismo oficial.</x:v>
      </x:c>
      <x:c r="Z22" s="308" t="str">
        <x:v>https://www.armscontrol.org/about</x:v>
      </x:c>
      <x:c r="AA22" s="310" t="n">
        <x:v>46219</x:v>
      </x:c>
    </x:row>
    <x:row r="23">
      <x:c r="A23" s="309" t="n">
        <x:v>13</x:v>
      </x:c>
      <x:c r="B23" s="312" t="str">
        <x:v>Agence France-Presse (AFP)</x:v>
      </x:c>
      <x:c r="C23" s="313" t="str">
        <x:v>https://www.afp.com/</x:v>
      </x:c>
      <x:c r="D23" s="308" t="str">
        <x:v>Francia; red global</x:v>
      </x:c>
      <x:c r="E23" s="404" t="str">
        <x:v>Global</x:v>
      </x:c>
      <x:c r="F23" s="308" t="str">
        <x:v>Multilingüe</x:v>
      </x:c>
      <x:c r="G23" s="308" t="str">
        <x:v>Agencia de noticias</x:v>
      </x:c>
      <x:c r="H23" s="308" t="str">
        <x:v>Confirmación factual y noticias urgentes</x:v>
      </x:c>
      <x:c r="I23" s="308" t="str">
        <x:v>Agencia internacional con estatuto propio</x:v>
      </x:c>
      <x:c r="J23" s="308" t="str">
        <x:v>Institucional</x:v>
      </x:c>
      <x:c r="K23" s="308" t="str">
        <x:v>Centro / baja carga editorial</x:v>
      </x:c>
      <x:c r="L23" s="308" t="str">
        <x:v>Global / francesa</x:v>
      </x:c>
      <x:c r="M23" s="309" t="n">
        <x:v>5</x:v>
      </x:c>
      <x:c r="N23" s="309" t="n">
        <x:v>5</x:v>
      </x:c>
      <x:c r="O23" s="309" t="n">
        <x:v>5</x:v>
      </x:c>
      <x:c r="P23" s="309" t="n">
        <x:v>5</x:v>
      </x:c>
      <x:c r="Q23" s="309" t="n">
        <x:v>5</x:v>
      </x:c>
      <x:c r="R23" s="309" t="n">
        <x:v>5</x:v>
      </x:c>
      <x:c r="S23" s="311" t="n">
        <x:v>5</x:v>
      </x:c>
      <x:c r="T23" s="309" t="str">
        <x:v>Alta</x:v>
      </x:c>
      <x:c r="U23" s="308" t="str">
        <x:v>Fuente base para hechos y verificación visual</x:v>
      </x:c>
      <x:c r="V23" s="308" t="str">
        <x:v>Baja</x:v>
      </x:c>
      <x:c r="W23" s="308" t="str">
        <x:v>Reuters/AP y fuentes primarias</x:v>
      </x:c>
      <x:c r="X23" s="308" t="str">
        <x:v>Nuevo recomendado</x:v>
      </x:c>
      <x:c r="Y23" s="308"/>
      <x:c r="Z23" s="308" t="str">
        <x:v>https://www.afp.com/</x:v>
      </x:c>
      <x:c r="AA23" s="310" t="n">
        <x:v>46219</x:v>
      </x:c>
    </x:row>
    <x:row r="24">
      <x:c r="A24" s="309" t="n">
        <x:v>12</x:v>
      </x:c>
      <x:c r="B24" s="312" t="str">
        <x:v>Associated Press (AP)</x:v>
      </x:c>
      <x:c r="C24" s="313" t="str">
        <x:v>https://apnews.com/</x:v>
      </x:c>
      <x:c r="D24" s="308" t="str">
        <x:v>Estados Unidos; red global</x:v>
      </x:c>
      <x:c r="E24" s="404" t="str">
        <x:v>Global</x:v>
      </x:c>
      <x:c r="F24" s="308" t="str">
        <x:v>Inglés</x:v>
      </x:c>
      <x:c r="G24" s="308" t="str">
        <x:v>Agencia de noticias</x:v>
      </x:c>
      <x:c r="H24" s="308" t="str">
        <x:v>Confirmación factual y noticias urgentes</x:v>
      </x:c>
      <x:c r="I24" s="308" t="str">
        <x:v>Cooperativa sin fines de lucro</x:v>
      </x:c>
      <x:c r="J24" s="308" t="str">
        <x:v>Cooperativo</x:v>
      </x:c>
      <x:c r="K24" s="308" t="str">
        <x:v>Centro / baja carga editorial</x:v>
      </x:c>
      <x:c r="L24" s="308" t="str">
        <x:v>Global</x:v>
      </x:c>
      <x:c r="M24" s="309" t="n">
        <x:v>5</x:v>
      </x:c>
      <x:c r="N24" s="309" t="n">
        <x:v>5</x:v>
      </x:c>
      <x:c r="O24" s="309" t="n">
        <x:v>5</x:v>
      </x:c>
      <x:c r="P24" s="309" t="n">
        <x:v>5</x:v>
      </x:c>
      <x:c r="Q24" s="309" t="n">
        <x:v>5</x:v>
      </x:c>
      <x:c r="R24" s="309" t="n">
        <x:v>5</x:v>
      </x:c>
      <x:c r="S24" s="311" t="n">
        <x:v>5</x:v>
      </x:c>
      <x:c r="T24" s="309" t="str">
        <x:v>Alta</x:v>
      </x:c>
      <x:c r="U24" s="308" t="str">
        <x:v>Fuente base para hechos y noticias urgentes</x:v>
      </x:c>
      <x:c r="V24" s="308" t="str">
        <x:v>Baja</x:v>
      </x:c>
      <x:c r="W24" s="308" t="str">
        <x:v>Reuters/AFP y fuentes primarias</x:v>
      </x:c>
      <x:c r="X24" s="308" t="str">
        <x:v>Nuevo recomendado</x:v>
      </x:c>
      <x:c r="Y24" s="308"/>
      <x:c r="Z24" s="308" t="str">
        <x:v>https://apnews.com/</x:v>
      </x:c>
      <x:c r="AA24" s="310" t="n">
        <x:v>46219</x:v>
      </x:c>
    </x:row>
    <x:row r="25">
      <x:c r="A25" s="309" t="n">
        <x:v>8</x:v>
      </x:c>
      <x:c r="B25" s="312" t="str">
        <x:v>Reuters</x:v>
      </x:c>
      <x:c r="C25" s="313" t="str">
        <x:v>https://www.reuters.com/</x:v>
      </x:c>
      <x:c r="D25" s="308" t="str">
        <x:v>Reino Unido; red global</x:v>
      </x:c>
      <x:c r="E25" s="404" t="str">
        <x:v>Global</x:v>
      </x:c>
      <x:c r="F25" s="308" t="str">
        <x:v>Multilingüe</x:v>
      </x:c>
      <x:c r="G25" s="308" t="str">
        <x:v>Agencia de noticias</x:v>
      </x:c>
      <x:c r="H25" s="308" t="str">
        <x:v>Confirmación factual y noticias urgentes</x:v>
      </x:c>
      <x:c r="I25" s="308" t="str">
        <x:v>Privado comercial</x:v>
      </x:c>
      <x:c r="J25" s="308" t="str">
        <x:v>Privado</x:v>
      </x:c>
      <x:c r="K25" s="308" t="str">
        <x:v>Centro / baja carga editorial</x:v>
      </x:c>
      <x:c r="L25" s="308" t="str">
        <x:v>Global / mercados</x:v>
      </x:c>
      <x:c r="M25" s="309" t="n">
        <x:v>5</x:v>
      </x:c>
      <x:c r="N25" s="309" t="n">
        <x:v>5</x:v>
      </x:c>
      <x:c r="O25" s="309" t="n">
        <x:v>5</x:v>
      </x:c>
      <x:c r="P25" s="309" t="n">
        <x:v>5</x:v>
      </x:c>
      <x:c r="Q25" s="309" t="n">
        <x:v>5</x:v>
      </x:c>
      <x:c r="R25" s="309" t="n">
        <x:v>5</x:v>
      </x:c>
      <x:c r="S25" s="311" t="n">
        <x:v>5</x:v>
      </x:c>
      <x:c r="T25" s="309" t="str">
        <x:v>Alta</x:v>
      </x:c>
      <x:c r="U25" s="308" t="str">
        <x:v>Fuente base para hechos y noticias urgentes</x:v>
      </x:c>
      <x:c r="V25" s="308" t="str">
        <x:v>Baja</x:v>
      </x:c>
      <x:c r="W25" s="308" t="str">
        <x:v>AP/AFP y fuentes primarias cuando el asunto sea crítico</x:v>
      </x:c>
      <x:c r="X25" s="308" t="str">
        <x:v>Activo</x:v>
      </x:c>
      <x:c r="Y25" s="308" t="str">
        <x:v>Referencia principal de la matriz para confirmación factual.</x:v>
      </x:c>
      <x:c r="Z25" s="308" t="str">
        <x:v>https://www.thomsonreuters.com/en/about-us/trust-principles.html</x:v>
      </x:c>
      <x:c r="AA25" s="310" t="n">
        <x:v>46219</x:v>
      </x:c>
    </x:row>
    <x:row r="26">
      <x:c r="A26" s="309" t="n">
        <x:v>43</x:v>
      </x:c>
      <x:c r="B26" s="312" t="str">
        <x:v>SIPRI</x:v>
      </x:c>
      <x:c r="C26" s="313" t="str">
        <x:v>https://www.sipri.org/</x:v>
      </x:c>
      <x:c r="D26" s="308" t="str">
        <x:v>Suecia; alcance global</x:v>
      </x:c>
      <x:c r="E26" s="404" t="str">
        <x:v>Global</x:v>
      </x:c>
      <x:c r="F26" s="308" t="str">
        <x:v>Inglés</x:v>
      </x:c>
      <x:c r="G26" s="308" t="str">
        <x:v>Instituto de investigación</x:v>
      </x:c>
      <x:c r="H26" s="308" t="str">
        <x:v>Datos de armamentos, gasto militar y paz</x:v>
      </x:c>
      <x:c r="I26" s="308" t="str">
        <x:v>Instituto internacional independiente</x:v>
      </x:c>
      <x:c r="J26" s="308" t="str">
        <x:v>ONG/academia</x:v>
      </x:c>
      <x:c r="K26" s="308" t="str">
        <x:v>Centrista / paz y seguridad</x:v>
      </x:c>
      <x:c r="L26" s="308" t="str">
        <x:v>Nórdica / multilateral</x:v>
      </x:c>
      <x:c r="M26" s="309" t="n">
        <x:v>5</x:v>
      </x:c>
      <x:c r="N26" s="309" t="n">
        <x:v>5</x:v>
      </x:c>
      <x:c r="O26" s="309" t="n">
        <x:v>5</x:v>
      </x:c>
      <x:c r="P26" s="309" t="n">
        <x:v>5</x:v>
      </x:c>
      <x:c r="Q26" s="309" t="n">
        <x:v>4</x:v>
      </x:c>
      <x:c r="R26" s="309" t="n">
        <x:v>5</x:v>
      </x:c>
      <x:c r="S26" s="311" t="n">
        <x:v>4.8</x:v>
      </x:c>
      <x:c r="T26" s="309" t="str">
        <x:v>Alta</x:v>
      </x:c>
      <x:c r="U26" s="308" t="str">
        <x:v>Datos de gasto militar, armas y transferencias</x:v>
      </x:c>
      <x:c r="V26" s="308" t="str">
        <x:v>Baja</x:v>
      </x:c>
      <x:c r="W26" s="308" t="str">
        <x:v>Fuentes nacionales e IISS</x:v>
      </x:c>
      <x:c r="X26" s="308" t="str">
        <x:v>Nuevo recomendado</x:v>
      </x:c>
      <x:c r="Y26" s="308"/>
      <x:c r="Z26" s="308" t="str">
        <x:v>https://www.sipri.org/</x:v>
      </x:c>
      <x:c r="AA26" s="310" t="n">
        <x:v>46219</x:v>
      </x:c>
    </x:row>
    <x:row r="27">
      <x:c r="A27" s="309" t="n">
        <x:v>68</x:v>
      </x:c>
      <x:c r="B27" s="312" t="str">
        <x:v>ACLED</x:v>
      </x:c>
      <x:c r="C27" s="313" t="str">
        <x:v>https://acleddata.com/</x:v>
      </x:c>
      <x:c r="D27" s="308" t="str">
        <x:v>Organización internacional de datos</x:v>
      </x:c>
      <x:c r="E27" s="404" t="str">
        <x:v>Global</x:v>
      </x:c>
      <x:c r="F27" s="308" t="str">
        <x:v>Inglés</x:v>
      </x:c>
      <x:c r="G27" s="308" t="str">
        <x:v>Base de datos de conflictos</x:v>
      </x:c>
      <x:c r="H27" s="308" t="str">
        <x:v>Datos estructurados sobre violencia política</x:v>
      </x:c>
      <x:c r="I27" s="308" t="str">
        <x:v>Organización independiente</x:v>
      </x:c>
      <x:c r="J27" s="308" t="str">
        <x:v>ONG/datos</x:v>
      </x:c>
      <x:c r="K27" s="308" t="str">
        <x:v>Metodológica</x:v>
      </x:c>
      <x:c r="L27" s="308" t="str">
        <x:v>Global / conflicto</x:v>
      </x:c>
      <x:c r="M27" s="309" t="n">
        <x:v>5</x:v>
      </x:c>
      <x:c r="N27" s="309" t="n">
        <x:v>5</x:v>
      </x:c>
      <x:c r="O27" s="309" t="n">
        <x:v>5</x:v>
      </x:c>
      <x:c r="P27" s="309" t="n">
        <x:v>5</x:v>
      </x:c>
      <x:c r="Q27" s="309" t="n">
        <x:v>4</x:v>
      </x:c>
      <x:c r="R27" s="309" t="n">
        <x:v>5</x:v>
      </x:c>
      <x:c r="S27" s="311" t="n">
        <x:v>4.8</x:v>
      </x:c>
      <x:c r="T27" s="309" t="str">
        <x:v>Alta</x:v>
      </x:c>
      <x:c r="U27" s="308" t="str">
        <x:v>Datos de eventos, tendencias y mapas de conflicto</x:v>
      </x:c>
      <x:c r="V27" s="308" t="str">
        <x:v>Moderada</x:v>
      </x:c>
      <x:c r="W27" s="308" t="str">
        <x:v>ONU, prensa local y otras bases de datos</x:v>
      </x:c>
      <x:c r="X27" s="308" t="str">
        <x:v>Nuevo recomendado</x:v>
      </x:c>
      <x:c r="Y27" s="308"/>
      <x:c r="Z27" s="308" t="str">
        <x:v>https://acleddata.com/</x:v>
      </x:c>
      <x:c r="AA27" s="310" t="n">
        <x:v>46219</x:v>
      </x:c>
    </x:row>
    <x:row r="28">
      <x:c r="A28" s="309" t="n">
        <x:v>56</x:v>
      </x:c>
      <x:c r="B28" s="312" t="str">
        <x:v>U.S. Energy Information Administration (EIA)</x:v>
      </x:c>
      <x:c r="C28" s="313" t="str">
        <x:v>https://www.eia.gov/</x:v>
      </x:c>
      <x:c r="D28" s="308" t="str">
        <x:v>Estados Unidos; alcance estadístico global</x:v>
      </x:c>
      <x:c r="E28" s="404" t="str">
        <x:v>Global</x:v>
      </x:c>
      <x:c r="F28" s="308" t="str">
        <x:v>Inglés</x:v>
      </x:c>
      <x:c r="G28" s="308" t="str">
        <x:v>Agencia gubernamental</x:v>
      </x:c>
      <x:c r="H28" s="308" t="str">
        <x:v>Datos y análisis energéticos</x:v>
      </x:c>
      <x:c r="I28" s="308" t="str">
        <x:v>Gobierno de Estados Unidos</x:v>
      </x:c>
      <x:c r="J28" s="308" t="str">
        <x:v>Oficial</x:v>
      </x:c>
      <x:c r="K28" s="308" t="str">
        <x:v>Técnica</x:v>
      </x:c>
      <x:c r="L28" s="308" t="str">
        <x:v>Estadounidense / energética</x:v>
      </x:c>
      <x:c r="M28" s="309" t="n">
        <x:v>5</x:v>
      </x:c>
      <x:c r="N28" s="309" t="n">
        <x:v>4</x:v>
      </x:c>
      <x:c r="O28" s="309" t="n">
        <x:v>5</x:v>
      </x:c>
      <x:c r="P28" s="309" t="n">
        <x:v>5</x:v>
      </x:c>
      <x:c r="Q28" s="309" t="n">
        <x:v>5</x:v>
      </x:c>
      <x:c r="R28" s="309" t="n">
        <x:v>5</x:v>
      </x:c>
      <x:c r="S28" s="311" t="n">
        <x:v>4.8</x:v>
      </x:c>
      <x:c r="T28" s="309" t="str">
        <x:v>Alta</x:v>
      </x:c>
      <x:c r="U28" s="308" t="str">
        <x:v>Datos de energía, petróleo y gas</x:v>
      </x:c>
      <x:c r="V28" s="308" t="str">
        <x:v>Baja</x:v>
      </x:c>
      <x:c r="W28" s="308" t="str">
        <x:v>AIE, OPEP y estadísticas nacionales</x:v>
      </x:c>
      <x:c r="X28" s="308" t="str">
        <x:v>Activo</x:v>
      </x:c>
      <x:c r="Y28" s="308"/>
      <x:c r="Z28" s="308" t="str">
        <x:v>https://www.eia.gov/</x:v>
      </x:c>
      <x:c r="AA28" s="310" t="n">
        <x:v>46219</x:v>
      </x:c>
    </x:row>
    <x:row r="29">
      <x:c r="A29" s="309" t="n">
        <x:v>59</x:v>
      </x:c>
      <x:c r="B29" s="312" t="str">
        <x:v>UNESCO</x:v>
      </x:c>
      <x:c r="C29" s="313" t="str">
        <x:v>https://www.unesco.org/</x:v>
      </x:c>
      <x:c r="D29" s="308" t="str">
        <x:v>Organización internacional; sede en París</x:v>
      </x:c>
      <x:c r="E29" s="404" t="str">
        <x:v>Global</x:v>
      </x:c>
      <x:c r="F29" s="308" t="str">
        <x:v>Multilingüe</x:v>
      </x:c>
      <x:c r="G29" s="308" t="str">
        <x:v>Organismo internacional</x:v>
      </x:c>
      <x:c r="H29" s="308" t="str">
        <x:v>Datos, normas y programas</x:v>
      </x:c>
      <x:c r="I29" s="308" t="str">
        <x:v>Estados miembros</x:v>
      </x:c>
      <x:c r="J29" s="308" t="str">
        <x:v>Internacional</x:v>
      </x:c>
      <x:c r="K29" s="308" t="str">
        <x:v>Multilateral</x:v>
      </x:c>
      <x:c r="L29" s="308" t="str">
        <x:v>Educación, ciencia y cultura</x:v>
      </x:c>
      <x:c r="M29" s="309" t="n">
        <x:v>4</x:v>
      </x:c>
      <x:c r="N29" s="309" t="n">
        <x:v>4</x:v>
      </x:c>
      <x:c r="O29" s="309" t="n">
        <x:v>5</x:v>
      </x:c>
      <x:c r="P29" s="309" t="n">
        <x:v>4</x:v>
      </x:c>
      <x:c r="Q29" s="309" t="n">
        <x:v>4</x:v>
      </x:c>
      <x:c r="R29" s="309" t="n">
        <x:v>5</x:v>
      </x:c>
      <x:c r="S29" s="311" t="n">
        <x:v>4.3</x:v>
      </x:c>
      <x:c r="T29" s="309" t="str">
        <x:v>Alta</x:v>
      </x:c>
      <x:c r="U29" s="308" t="str">
        <x:v>Datos institucionales, patrimonio y libertad de expresión</x:v>
      </x:c>
      <x:c r="V29" s="308" t="str">
        <x:v>Moderada</x:v>
      </x:c>
      <x:c r="W29" s="308" t="str">
        <x:v>Estadísticas nacionales y fuentes académicas</x:v>
      </x:c>
      <x:c r="X29" s="308" t="str">
        <x:v>Activo</x:v>
      </x:c>
      <x:c r="Y29" s="308"/>
      <x:c r="Z29" s="308" t="str">
        <x:v>https://www.unesco.org/</x:v>
      </x:c>
      <x:c r="AA29" s="310" t="n">
        <x:v>46219</x:v>
      </x:c>
    </x:row>
    <x:row r="30">
      <x:c r="A30" s="309" t="n">
        <x:v>36</x:v>
      </x:c>
      <x:c r="B30" s="312" t="str">
        <x:v>IISS</x:v>
      </x:c>
      <x:c r="C30" s="313" t="str">
        <x:v>https://www.iiss.org/</x:v>
      </x:c>
      <x:c r="D30" s="308" t="str">
        <x:v>Reino Unido; alcance global</x:v>
      </x:c>
      <x:c r="E30" s="404" t="str">
        <x:v>Global</x:v>
      </x:c>
      <x:c r="F30" s="308" t="str">
        <x:v>Inglés</x:v>
      </x:c>
      <x:c r="G30" s="308" t="str">
        <x:v>Think tank</x:v>
      </x:c>
      <x:c r="H30" s="308" t="str">
        <x:v>Defensa, seguridad y equilibrio militar</x:v>
      </x:c>
      <x:c r="I30" s="308" t="str">
        <x:v>Organización sin fines de lucro</x:v>
      </x:c>
      <x:c r="J30" s="308" t="str">
        <x:v>ONG/think tank</x:v>
      </x:c>
      <x:c r="K30" s="308" t="str">
        <x:v>Centrista / seguridad nacional</x:v>
      </x:c>
      <x:c r="L30" s="308" t="str">
        <x:v>Transatlántica</x:v>
      </x:c>
      <x:c r="M30" s="309" t="n">
        <x:v>5</x:v>
      </x:c>
      <x:c r="N30" s="309" t="n">
        <x:v>4</x:v>
      </x:c>
      <x:c r="O30" s="309" t="n">
        <x:v>5</x:v>
      </x:c>
      <x:c r="P30" s="309" t="n">
        <x:v>5</x:v>
      </x:c>
      <x:c r="Q30" s="309" t="n">
        <x:v>4</x:v>
      </x:c>
      <x:c r="R30" s="309" t="n">
        <x:v>5</x:v>
      </x:c>
      <x:c r="S30" s="311" t="n">
        <x:v>4.7</x:v>
      </x:c>
      <x:c r="T30" s="309" t="str">
        <x:v>Alta</x:v>
      </x:c>
      <x:c r="U30" s="308" t="str">
        <x:v>Defensa, capacidades militares y estrategia</x:v>
      </x:c>
      <x:c r="V30" s="308" t="str">
        <x:v>Moderada</x:v>
      </x:c>
      <x:c r="W30" s="308" t="str">
        <x:v>SIPRI, presupuestos y fuentes militares contrapuestas</x:v>
      </x:c>
      <x:c r="X30" s="308" t="str">
        <x:v>Activo</x:v>
      </x:c>
      <x:c r="Y30" s="308"/>
      <x:c r="Z30" s="308" t="str">
        <x:v>https://www.iiss.org/</x:v>
      </x:c>
      <x:c r="AA30" s="310" t="n">
        <x:v>46219</x:v>
      </x:c>
    </x:row>
    <x:row r="31">
      <x:c r="A31" s="309" t="n">
        <x:v>40</x:v>
      </x:c>
      <x:c r="B31" s="312" t="str">
        <x:v>RUSI</x:v>
      </x:c>
      <x:c r="C31" s="313" t="str">
        <x:v>https://www.rusi.org/</x:v>
      </x:c>
      <x:c r="D31" s="308" t="str">
        <x:v>Reino Unido; alcance global</x:v>
      </x:c>
      <x:c r="E31" s="404" t="str">
        <x:v>Global</x:v>
      </x:c>
      <x:c r="F31" s="308" t="str">
        <x:v>Inglés</x:v>
      </x:c>
      <x:c r="G31" s="308" t="str">
        <x:v>Think tank</x:v>
      </x:c>
      <x:c r="H31" s="308" t="str">
        <x:v>Defensa, seguridad y tecnología</x:v>
      </x:c>
      <x:c r="I31" s="308" t="str">
        <x:v>Organización benéfica independiente</x:v>
      </x:c>
      <x:c r="J31" s="308" t="str">
        <x:v>ONG/think tank</x:v>
      </x:c>
      <x:c r="K31" s="308" t="str">
        <x:v>Centrista / seguridad nacional</x:v>
      </x:c>
      <x:c r="L31" s="308" t="str">
        <x:v>Británica / transatlántica</x:v>
      </x:c>
      <x:c r="M31" s="309" t="n">
        <x:v>5</x:v>
      </x:c>
      <x:c r="N31" s="309" t="n">
        <x:v>4</x:v>
      </x:c>
      <x:c r="O31" s="309" t="n">
        <x:v>5</x:v>
      </x:c>
      <x:c r="P31" s="309" t="n">
        <x:v>5</x:v>
      </x:c>
      <x:c r="Q31" s="309" t="n">
        <x:v>4</x:v>
      </x:c>
      <x:c r="R31" s="309" t="n">
        <x:v>5</x:v>
      </x:c>
      <x:c r="S31" s="311" t="n">
        <x:v>4.7</x:v>
      </x:c>
      <x:c r="T31" s="309" t="str">
        <x:v>Alta</x:v>
      </x:c>
      <x:c r="U31" s="308" t="str">
        <x:v>Defensa, inteligencia y guerra tecnológica</x:v>
      </x:c>
      <x:c r="V31" s="308" t="str">
        <x:v>Moderada</x:v>
      </x:c>
      <x:c r="W31" s="308" t="str">
        <x:v>IISS, SIPRI y fuentes primarias</x:v>
      </x:c>
      <x:c r="X31" s="308" t="str">
        <x:v>Activo</x:v>
      </x:c>
      <x:c r="Y31" s="308"/>
      <x:c r="Z31" s="308" t="str">
        <x:v>https://www.rusi.org/</x:v>
      </x:c>
      <x:c r="AA31" s="310" t="n">
        <x:v>46219</x:v>
      </x:c>
    </x:row>
    <x:row r="32">
      <x:c r="A32" s="309" t="n">
        <x:v>61</x:v>
      </x:c>
      <x:c r="B32" s="312" t="str">
        <x:v>ICRC / CICR</x:v>
      </x:c>
      <x:c r="C32" s="313" t="str">
        <x:v>https://www.icrc.org/</x:v>
      </x:c>
      <x:c r="D32" s="308" t="str">
        <x:v>Organización internacional humanitaria; sede en Ginebra</x:v>
      </x:c>
      <x:c r="E32" s="404" t="str">
        <x:v>Global</x:v>
      </x:c>
      <x:c r="F32" s="308" t="str">
        <x:v>Multilingüe</x:v>
      </x:c>
      <x:c r="G32" s="308" t="str">
        <x:v>Organización humanitaria</x:v>
      </x:c>
      <x:c r="H32" s="308" t="str">
        <x:v>Derecho humanitario, acceso y situación humanitaria</x:v>
      </x:c>
      <x:c r="I32" s="308" t="str">
        <x:v>Financiación multilateral y donaciones</x:v>
      </x:c>
      <x:c r="J32" s="308" t="str">
        <x:v>Internacional/ONG</x:v>
      </x:c>
      <x:c r="K32" s="308" t="str">
        <x:v>Humanitaria / neutralidad operacional</x:v>
      </x:c>
      <x:c r="L32" s="308" t="str">
        <x:v>Derecho internacional humanitario</x:v>
      </x:c>
      <x:c r="M32" s="309" t="n">
        <x:v>5</x:v>
      </x:c>
      <x:c r="N32" s="309" t="n">
        <x:v>5</x:v>
      </x:c>
      <x:c r="O32" s="309" t="n">
        <x:v>5</x:v>
      </x:c>
      <x:c r="P32" s="309" t="n">
        <x:v>5</x:v>
      </x:c>
      <x:c r="Q32" s="309" t="n">
        <x:v>4</x:v>
      </x:c>
      <x:c r="R32" s="309" t="n">
        <x:v>5</x:v>
      </x:c>
      <x:c r="S32" s="311" t="n">
        <x:v>4.8</x:v>
      </x:c>
      <x:c r="T32" s="309" t="str">
        <x:v>Alta</x:v>
      </x:c>
      <x:c r="U32" s="308" t="str">
        <x:v>Derecho humanitario y situación de civiles</x:v>
      </x:c>
      <x:c r="V32" s="308" t="str">
        <x:v>Moderada</x:v>
      </x:c>
      <x:c r="W32" s="308" t="str">
        <x:v>ONU, ONG locales y fuentes de terreno</x:v>
      </x:c>
      <x:c r="X32" s="308" t="str">
        <x:v>Nuevo recomendado</x:v>
      </x:c>
      <x:c r="Y32" s="308"/>
      <x:c r="Z32" s="308" t="str">
        <x:v>https://www.icrc.org/</x:v>
      </x:c>
      <x:c r="AA32" s="310" t="n">
        <x:v>46219</x:v>
      </x:c>
    </x:row>
    <x:row r="33">
      <x:c r="A33" s="309" t="n">
        <x:v>58</x:v>
      </x:c>
      <x:c r="B33" s="312" t="str">
        <x:v>United Nations (ONU)</x:v>
      </x:c>
      <x:c r="C33" s="313" t="str">
        <x:v>https://www.un.org/</x:v>
      </x:c>
      <x:c r="D33" s="308" t="str">
        <x:v>Organización internacional; sede principal en Nueva York</x:v>
      </x:c>
      <x:c r="E33" s="404" t="str">
        <x:v>Global</x:v>
      </x:c>
      <x:c r="F33" s="308" t="str">
        <x:v>Multilingüe</x:v>
      </x:c>
      <x:c r="G33" s="308" t="str">
        <x:v>Organismo internacional</x:v>
      </x:c>
      <x:c r="H33" s="308" t="str">
        <x:v>Documentos, resoluciones, datos y declaraciones</x:v>
      </x:c>
      <x:c r="I33" s="308" t="str">
        <x:v>Estados miembros</x:v>
      </x:c>
      <x:c r="J33" s="308" t="str">
        <x:v>Internacional</x:v>
      </x:c>
      <x:c r="K33" s="308" t="str">
        <x:v>Multilateral</x:v>
      </x:c>
      <x:c r="L33" s="308" t="str">
        <x:v>Sistema ONU</x:v>
      </x:c>
      <x:c r="M33" s="309" t="n">
        <x:v>4</x:v>
      </x:c>
      <x:c r="N33" s="309" t="n">
        <x:v>3</x:v>
      </x:c>
      <x:c r="O33" s="309" t="n">
        <x:v>5</x:v>
      </x:c>
      <x:c r="P33" s="309" t="n">
        <x:v>4</x:v>
      </x:c>
      <x:c r="Q33" s="309" t="n">
        <x:v>4</x:v>
      </x:c>
      <x:c r="R33" s="309" t="n">
        <x:v>5</x:v>
      </x:c>
      <x:c r="S33" s="311" t="n">
        <x:v>4.2</x:v>
      </x:c>
      <x:c r="T33" s="309" t="str">
        <x:v>Media-alta</x:v>
      </x:c>
      <x:c r="U33" s="308" t="str">
        <x:v>Resoluciones, informes y posiciones oficiales</x:v>
      </x:c>
      <x:c r="V33" s="308" t="str">
        <x:v>Moderada</x:v>
      </x:c>
      <x:c r="W33" s="308" t="str">
        <x:v>Agencias, Estados miembros y fuentes independientes</x:v>
      </x:c>
      <x:c r="X33" s="308" t="str">
        <x:v>Activo</x:v>
      </x:c>
      <x:c r="Y33" s="308" t="str">
        <x:v>Corregido: no asignar como país Estados Unidos.</x:v>
      </x:c>
      <x:c r="Z33" s="308" t="str">
        <x:v>https://www.un.org/en/about-us</x:v>
      </x:c>
      <x:c r="AA33" s="310" t="n">
        <x:v>46219</x:v>
      </x:c>
    </x:row>
    <x:row r="34">
      <x:c r="A34" s="309" t="n">
        <x:v>63</x:v>
      </x:c>
      <x:c r="B34" s="312" t="str">
        <x:v>Media Bias/Fact Check</x:v>
      </x:c>
      <x:c r="C34" s="313" t="str">
        <x:v>https://mediabiasfactcheck.com/</x:v>
      </x:c>
      <x:c r="D34" s="308" t="str">
        <x:v>Estados Unidos</x:v>
      </x:c>
      <x:c r="E34" s="404" t="str">
        <x:v>Global</x:v>
      </x:c>
      <x:c r="F34" s="308" t="str">
        <x:v>Inglés</x:v>
      </x:c>
      <x:c r="G34" s="308" t="str">
        <x:v>Observatorio de medios</x:v>
      </x:c>
      <x:c r="H34" s="308" t="str">
        <x:v>Guía secundaria sobre sesgo y factualidad</x:v>
      </x:c>
      <x:c r="I34" s="308" t="str">
        <x:v>Sitio privado</x:v>
      </x:c>
      <x:c r="J34" s="308" t="str">
        <x:v>Privado</x:v>
      </x:c>
      <x:c r="K34" s="308" t="str">
        <x:v>Centro</x:v>
      </x:c>
      <x:c r="L34" s="308" t="str">
        <x:v>Evaluación mediática estadounidense</x:v>
      </x:c>
      <x:c r="M34" s="309" t="n">
        <x:v>3</x:v>
      </x:c>
      <x:c r="N34" s="309" t="n">
        <x:v>3</x:v>
      </x:c>
      <x:c r="O34" s="309" t="n">
        <x:v>3</x:v>
      </x:c>
      <x:c r="P34" s="309" t="n">
        <x:v>3</x:v>
      </x:c>
      <x:c r="Q34" s="309" t="n">
        <x:v>3</x:v>
      </x:c>
      <x:c r="R34" s="309" t="n">
        <x:v>4</x:v>
      </x:c>
      <x:c r="S34" s="311" t="n">
        <x:v>3.2</x:v>
      </x:c>
      <x:c r="T34" s="309" t="str">
        <x:v>Media</x:v>
      </x:c>
      <x:c r="U34" s="308" t="str">
        <x:v>Orientación inicial; nunca árbitro único</x:v>
      </x:c>
      <x:c r="V34" s="308" t="str">
        <x:v>Alta</x:v>
      </x:c>
      <x:c r="W34" s="308" t="str">
        <x:v>NewsGuard, Ad Fontes, AllSides y análisis propio</x:v>
      </x:c>
      <x:c r="X34" s="308" t="str">
        <x:v>Secundario</x:v>
      </x:c>
      <x:c r="Y34" s="308" t="str">
        <x:v>La propia metodología reconoce que no es un método científico probado.</x:v>
      </x:c>
      <x:c r="Z34" s="308" t="str">
        <x:v>https://mediabiasfactcheck.com/methodology/</x:v>
      </x:c>
      <x:c r="AA34" s="310" t="n">
        <x:v>46219</x:v>
      </x:c>
    </x:row>
    <x:row r="35">
      <x:c r="A35" s="309" t="n">
        <x:v>34</x:v>
      </x:c>
      <x:c r="B35" s="312" t="str">
        <x:v>European Journal of International Law (EJIL)</x:v>
      </x:c>
      <x:c r="C35" s="313" t="str">
        <x:v>https://www.ejil.org/</x:v>
      </x:c>
      <x:c r="D35" s="308" t="str">
        <x:v>Europa; comunidad académica global</x:v>
      </x:c>
      <x:c r="E35" s="404" t="str">
        <x:v>Global</x:v>
      </x:c>
      <x:c r="F35" s="308" t="str">
        <x:v>Inglés</x:v>
      </x:c>
      <x:c r="G35" s="308" t="str">
        <x:v>Revista académica</x:v>
      </x:c>
      <x:c r="H35" s="308" t="str">
        <x:v>Investigación jurídica revisada por pares</x:v>
      </x:c>
      <x:c r="I35" s="308" t="str">
        <x:v>Académica</x:v>
      </x:c>
      <x:c r="J35" s="308" t="str">
        <x:v>Académico</x:v>
      </x:c>
      <x:c r="K35" s="308" t="str">
        <x:v>Plural</x:v>
      </x:c>
      <x:c r="L35" s="308" t="str">
        <x:v>Derecho internacional</x:v>
      </x:c>
      <x:c r="M35" s="309" t="n">
        <x:v>5</x:v>
      </x:c>
      <x:c r="N35" s="309" t="n">
        <x:v>5</x:v>
      </x:c>
      <x:c r="O35" s="309" t="n">
        <x:v>5</x:v>
      </x:c>
      <x:c r="P35" s="309" t="n">
        <x:v>5</x:v>
      </x:c>
      <x:c r="Q35" s="309" t="n">
        <x:v>4</x:v>
      </x:c>
      <x:c r="R35" s="309" t="n">
        <x:v>5</x:v>
      </x:c>
      <x:c r="S35" s="311" t="n">
        <x:v>4.8</x:v>
      </x:c>
      <x:c r="T35" s="309" t="str">
        <x:v>Alta</x:v>
      </x:c>
      <x:c r="U35" s="308" t="str">
        <x:v>Derecho internacional y jurisprudencia</x:v>
      </x:c>
      <x:c r="V35" s="308" t="str">
        <x:v>Baja a moderada</x:v>
      </x:c>
      <x:c r="W35" s="308" t="str">
        <x:v>Tratados, fallos y doctrina adicional</x:v>
      </x:c>
      <x:c r="X35" s="308" t="str">
        <x:v>Activo</x:v>
      </x:c>
      <x:c r="Y35" s="308"/>
      <x:c r="Z35" s="308" t="str">
        <x:v>https://www.ejil.org/</x:v>
      </x:c>
      <x:c r="AA35" s="310" t="n">
        <x:v>46219</x:v>
      </x:c>
    </x:row>
    <x:row r="36">
      <x:c r="A36" s="309" t="n">
        <x:v>64</x:v>
      </x:c>
      <x:c r="B36" s="312" t="str">
        <x:v>The Intercept</x:v>
      </x:c>
      <x:c r="C36" s="313" t="str">
        <x:v>https://theintercept.com/</x:v>
      </x:c>
      <x:c r="D36" s="308" t="str">
        <x:v>Estados Unidos; alcance global</x:v>
      </x:c>
      <x:c r="E36" s="404" t="str">
        <x:v>Global</x:v>
      </x:c>
      <x:c r="F36" s="308" t="str">
        <x:v>Inglés</x:v>
      </x:c>
      <x:c r="G36" s="308" t="str">
        <x:v>Medio de investigación</x:v>
      </x:c>
      <x:c r="H36" s="308" t="str">
        <x:v>Investigación, filtraciones y opinión</x:v>
      </x:c>
      <x:c r="I36" s="308" t="str">
        <x:v>Independiente / sin fines de lucro</x:v>
      </x:c>
      <x:c r="J36" s="308" t="str">
        <x:v>Independiente</x:v>
      </x:c>
      <x:c r="K36" s="308" t="str">
        <x:v>Izquierda</x:v>
      </x:c>
      <x:c r="L36" s="308" t="str">
        <x:v>Antivigilancia / antiintervencionista</x:v>
      </x:c>
      <x:c r="M36" s="309" t="n">
        <x:v>4</x:v>
      </x:c>
      <x:c r="N36" s="309" t="n">
        <x:v>4</x:v>
      </x:c>
      <x:c r="O36" s="309" t="n">
        <x:v>3</x:v>
      </x:c>
      <x:c r="P36" s="309" t="n">
        <x:v>4</x:v>
      </x:c>
      <x:c r="Q36" s="309" t="n">
        <x:v>3</x:v>
      </x:c>
      <x:c r="R36" s="309" t="n">
        <x:v>3</x:v>
      </x:c>
      <x:c r="S36" s="311" t="n">
        <x:v>3.5</x:v>
      </x:c>
      <x:c r="T36" s="309" t="str">
        <x:v>Media-alta</x:v>
      </x:c>
      <x:c r="U36" s="308" t="str">
        <x:v>Investigaciones y documentos filtrados</x:v>
      </x:c>
      <x:c r="V36" s="308" t="str">
        <x:v>Alta</x:v>
      </x:c>
      <x:c r="W36" s="308" t="str">
        <x:v>Documentos originales, respuestas de implicados y agencias</x:v>
      </x:c>
      <x:c r="X36" s="308" t="str">
        <x:v>Uso condicionado</x:v>
      </x:c>
      <x:c r="Y36" s="308" t="str">
        <x:v>Sólido en investigación; fuerte marco editorial.</x:v>
      </x:c>
      <x:c r="Z36" s="308" t="str">
        <x:v>https://theintercept.com/</x:v>
      </x:c>
      <x:c r="AA36" s="310" t="n">
        <x:v>46219</x:v>
      </x:c>
    </x:row>
    <x:row r="37">
      <x:c r="A37" s="309" t="n">
        <x:v>14</x:v>
      </x:c>
      <x:c r="B37" s="312" t="str">
        <x:v>Bloomberg</x:v>
      </x:c>
      <x:c r="C37" s="313" t="str">
        <x:v>https://www.bloomberg.com/</x:v>
      </x:c>
      <x:c r="D37" s="308" t="str">
        <x:v>Estados Unidos; alcance global</x:v>
      </x:c>
      <x:c r="E37" s="404" t="str">
        <x:v>Global</x:v>
      </x:c>
      <x:c r="F37" s="308" t="str">
        <x:v>Inglés</x:v>
      </x:c>
      <x:c r="G37" s="308" t="str">
        <x:v>Medio financiero</x:v>
      </x:c>
      <x:c r="H37" s="308" t="str">
        <x:v>Mercados, empresas, energía y política económica</x:v>
      </x:c>
      <x:c r="I37" s="308" t="str">
        <x:v>Privado comercial</x:v>
      </x:c>
      <x:c r="J37" s="308" t="str">
        <x:v>Privado</x:v>
      </x:c>
      <x:c r="K37" s="308" t="str">
        <x:v>Centro / promercado</x:v>
      </x:c>
      <x:c r="L37" s="308" t="str">
        <x:v>Mercados globales</x:v>
      </x:c>
      <x:c r="M37" s="309" t="n">
        <x:v>5</x:v>
      </x:c>
      <x:c r="N37" s="309" t="n">
        <x:v>4</x:v>
      </x:c>
      <x:c r="O37" s="309" t="n">
        <x:v>4</x:v>
      </x:c>
      <x:c r="P37" s="309" t="n">
        <x:v>5</x:v>
      </x:c>
      <x:c r="Q37" s="309" t="n">
        <x:v>5</x:v>
      </x:c>
      <x:c r="R37" s="309" t="n">
        <x:v>4</x:v>
      </x:c>
      <x:c r="S37" s="311" t="n">
        <x:v>4.5</x:v>
      </x:c>
      <x:c r="T37" s="309" t="str">
        <x:v>Alta</x:v>
      </x:c>
      <x:c r="U37" s="308" t="str">
        <x:v>Economía, sanciones, energía y empresas</x:v>
      </x:c>
      <x:c r="V37" s="308" t="str">
        <x:v>Moderada</x:v>
      </x:c>
      <x:c r="W37" s="308" t="str">
        <x:v>Reuters, FT y documentos financieros</x:v>
      </x:c>
      <x:c r="X37" s="308" t="str">
        <x:v>Nuevo recomendado</x:v>
      </x:c>
      <x:c r="Y37" s="308"/>
      <x:c r="Z37" s="308" t="str">
        <x:v>https://www.bloomberg.com/</x:v>
      </x:c>
      <x:c r="AA37" s="310" t="n">
        <x:v>46219</x:v>
      </x:c>
    </x:row>
    <x:row r="38">
      <x:c r="A38" s="309" t="n">
        <x:v>35</x:v>
      </x:c>
      <x:c r="B38" s="312" t="str">
        <x:v>Eurasia Group</x:v>
      </x:c>
      <x:c r="C38" s="313" t="str">
        <x:v>https://www.eurasiagroup.net/</x:v>
      </x:c>
      <x:c r="D38" s="308" t="str">
        <x:v>Estados Unidos; alcance global</x:v>
      </x:c>
      <x:c r="E38" s="404" t="str">
        <x:v>Global</x:v>
      </x:c>
      <x:c r="F38" s="308" t="str">
        <x:v>Inglés</x:v>
      </x:c>
      <x:c r="G38" s="308" t="str">
        <x:v>Consultoría</x:v>
      </x:c>
      <x:c r="H38" s="308" t="str">
        <x:v>Riesgo político y escenarios</x:v>
      </x:c>
      <x:c r="I38" s="308" t="str">
        <x:v>Privado comercial</x:v>
      </x:c>
      <x:c r="J38" s="308" t="str">
        <x:v>Privado</x:v>
      </x:c>
      <x:c r="K38" s="308" t="str">
        <x:v>Pragmática / promercado</x:v>
      </x:c>
      <x:c r="L38" s="308" t="str">
        <x:v>Riesgo para empresas e inversores</x:v>
      </x:c>
      <x:c r="M38" s="309" t="n">
        <x:v>4</x:v>
      </x:c>
      <x:c r="N38" s="309" t="n">
        <x:v>3</x:v>
      </x:c>
      <x:c r="O38" s="309" t="n">
        <x:v>4</x:v>
      </x:c>
      <x:c r="P38" s="309" t="n">
        <x:v>4</x:v>
      </x:c>
      <x:c r="Q38" s="309" t="n">
        <x:v>3</x:v>
      </x:c>
      <x:c r="R38" s="309" t="n">
        <x:v>4</x:v>
      </x:c>
      <x:c r="S38" s="311" t="n">
        <x:v>3.7</x:v>
      </x:c>
      <x:c r="T38" s="309" t="str">
        <x:v>Media-alta</x:v>
      </x:c>
      <x:c r="U38" s="308" t="str">
        <x:v>Escenarios y riesgo geopolítico</x:v>
      </x:c>
      <x:c r="V38" s="308" t="str">
        <x:v>Moderada</x:v>
      </x:c>
      <x:c r="W38" s="308" t="str">
        <x:v>Fuentes públicas, bancos centrales y análisis alternativos</x:v>
      </x:c>
      <x:c r="X38" s="308" t="str">
        <x:v>Activo</x:v>
      </x:c>
      <x:c r="Y38" s="308" t="str">
        <x:v>Distinguir investigación pública de productos comerciales.</x:v>
      </x:c>
      <x:c r="Z38" s="308" t="str">
        <x:v>https://www.eurasiagroup.net/</x:v>
      </x:c>
      <x:c r="AA38" s="310" t="n">
        <x:v>46219</x:v>
      </x:c>
    </x:row>
    <x:row r="39">
      <x:c r="A39" s="309" t="n">
        <x:v>39</x:v>
      </x:c>
      <x:c r="B39" s="312" t="str">
        <x:v>Long War Journal</x:v>
      </x:c>
      <x:c r="C39" s="313" t="str">
        <x:v>https://www.longwarjournal.org/</x:v>
      </x:c>
      <x:c r="D39" s="308" t="str">
        <x:v>Estados Unidos</x:v>
      </x:c>
      <x:c r="E39" s="404" t="str">
        <x:v>Global</x:v>
      </x:c>
      <x:c r="F39" s="308" t="str">
        <x:v>Inglés</x:v>
      </x:c>
      <x:c r="G39" s="308" t="str">
        <x:v>Análisis de seguridad</x:v>
      </x:c>
      <x:c r="H39" s="308" t="str">
        <x:v>Seguimiento de conflictos y grupos armados</x:v>
      </x:c>
      <x:c r="I39" s="308" t="str">
        <x:v>Proyecto de organización de seguridad</x:v>
      </x:c>
      <x:c r="J39" s="308" t="str">
        <x:v>ONG/think tank</x:v>
      </x:c>
      <x:c r="K39" s="308" t="str">
        <x:v>Halcón / contraterrorismo</x:v>
      </x:c>
      <x:c r="L39" s="308" t="str">
        <x:v>Estadounidense / seguridad nacional</x:v>
      </x:c>
      <x:c r="M39" s="309" t="n">
        <x:v>4</x:v>
      </x:c>
      <x:c r="N39" s="309" t="n">
        <x:v>3</x:v>
      </x:c>
      <x:c r="O39" s="309" t="n">
        <x:v>4</x:v>
      </x:c>
      <x:c r="P39" s="309" t="n">
        <x:v>4</x:v>
      </x:c>
      <x:c r="Q39" s="309" t="n">
        <x:v>3</x:v>
      </x:c>
      <x:c r="R39" s="309" t="n">
        <x:v>3</x:v>
      </x:c>
      <x:c r="S39" s="311" t="n">
        <x:v>3.5</x:v>
      </x:c>
      <x:c r="T39" s="309" t="str">
        <x:v>Media-alta</x:v>
      </x:c>
      <x:c r="U39" s="308" t="str">
        <x:v>Conflictos y organizaciones yihadistas</x:v>
      </x:c>
      <x:c r="V39" s="308" t="str">
        <x:v>Alta</x:v>
      </x:c>
      <x:c r="W39" s="308" t="str">
        <x:v>ACLED, ONU, prensa local y fuentes independientes</x:v>
      </x:c>
      <x:c r="X39" s="308" t="str">
        <x:v>Uso condicionado</x:v>
      </x:c>
      <x:c r="Y39" s="308"/>
      <x:c r="Z39" s="308" t="str">
        <x:v>https://www.longwarjournal.org/</x:v>
      </x:c>
      <x:c r="AA39" s="310" t="n">
        <x:v>46219</x:v>
      </x:c>
    </x:row>
    <x:row r="40">
      <x:c r="A40" s="309" t="n">
        <x:v>57</x:v>
      </x:c>
      <x:c r="B40" s="312" t="str">
        <x:v>IAEA / OIEA</x:v>
      </x:c>
      <x:c r="C40" s="313" t="str">
        <x:v>https://www.iaea.org/</x:v>
      </x:c>
      <x:c r="D40" s="308" t="str">
        <x:v>Organización internacional; sede en Viena</x:v>
      </x:c>
      <x:c r="E40" s="404" t="str">
        <x:v>Global</x:v>
      </x:c>
      <x:c r="F40" s="308" t="str">
        <x:v>Multilingüe</x:v>
      </x:c>
      <x:c r="G40" s="308" t="str">
        <x:v>Organismo internacional</x:v>
      </x:c>
      <x:c r="H40" s="308" t="str">
        <x:v>Verificación nuclear y salvaguardias</x:v>
      </x:c>
      <x:c r="I40" s="308" t="str">
        <x:v>Estados miembros</x:v>
      </x:c>
      <x:c r="J40" s="308" t="str">
        <x:v>Internacional</x:v>
      </x:c>
      <x:c r="K40" s="308" t="str">
        <x:v>Técnica / multilateral</x:v>
      </x:c>
      <x:c r="L40" s="308" t="str">
        <x:v>No proliferación nuclear</x:v>
      </x:c>
      <x:c r="M40" s="309" t="n">
        <x:v>5</x:v>
      </x:c>
      <x:c r="N40" s="309" t="n">
        <x:v>4</x:v>
      </x:c>
      <x:c r="O40" s="309" t="n">
        <x:v>5</x:v>
      </x:c>
      <x:c r="P40" s="309" t="n">
        <x:v>5</x:v>
      </x:c>
      <x:c r="Q40" s="309" t="n">
        <x:v>5</x:v>
      </x:c>
      <x:c r="R40" s="309" t="n">
        <x:v>5</x:v>
      </x:c>
      <x:c r="S40" s="311" t="n">
        <x:v>4.8</x:v>
      </x:c>
      <x:c r="T40" s="309" t="str">
        <x:v>Alta</x:v>
      </x:c>
      <x:c r="U40" s="308" t="str">
        <x:v>Verificación nuclear y documentos técnicos</x:v>
      </x:c>
      <x:c r="V40" s="308" t="str">
        <x:v>Baja a moderada</x:v>
      </x:c>
      <x:c r="W40" s="308" t="str">
        <x:v>Informes nacionales y documentación complementaria</x:v>
      </x:c>
      <x:c r="X40" s="308" t="str">
        <x:v>Activo</x:v>
      </x:c>
      <x:c r="Y40" s="308" t="str">
        <x:v>Corregido: Austria es la sede, no la nacionalidad institucional.</x:v>
      </x:c>
      <x:c r="Z40" s="308" t="str">
        <x:v>https://www.iaea.org/about/partnerships/united-nations-system</x:v>
      </x:c>
      <x:c r="AA40" s="310" t="n">
        <x:v>46219</x:v>
      </x:c>
    </x:row>
    <x:row r="41">
      <x:c r="A41" s="309" t="n">
        <x:v>62</x:v>
      </x:c>
      <x:c r="B41" s="312" t="str">
        <x:v>Bellingcat</x:v>
      </x:c>
      <x:c r="C41" s="313" t="str">
        <x:v>https://www.bellingcat.com/</x:v>
      </x:c>
      <x:c r="D41" s="308" t="str">
        <x:v>Países Bajos; red internacional</x:v>
      </x:c>
      <x:c r="E41" s="404" t="str">
        <x:v>Global</x:v>
      </x:c>
      <x:c r="F41" s="308" t="str">
        <x:v>Inglés y otros</x:v>
      </x:c>
      <x:c r="G41" s="308" t="str">
        <x:v>OSINT / investigación</x:v>
      </x:c>
      <x:c r="H41" s="308" t="str">
        <x:v>Verificación visual y reconstrucción de hechos</x:v>
      </x:c>
      <x:c r="I41" s="308" t="str">
        <x:v>Organización independiente</x:v>
      </x:c>
      <x:c r="J41" s="308" t="str">
        <x:v>Independiente</x:v>
      </x:c>
      <x:c r="K41" s="308" t="str">
        <x:v>Liberal / derechos humanos</x:v>
      </x:c>
      <x:c r="L41" s="308" t="str">
        <x:v>OSINT transnacional</x:v>
      </x:c>
      <x:c r="M41" s="309" t="n">
        <x:v>5</x:v>
      </x:c>
      <x:c r="N41" s="309" t="n">
        <x:v>4</x:v>
      </x:c>
      <x:c r="O41" s="309" t="n">
        <x:v>5</x:v>
      </x:c>
      <x:c r="P41" s="309" t="n">
        <x:v>5</x:v>
      </x:c>
      <x:c r="Q41" s="309" t="n">
        <x:v>4</x:v>
      </x:c>
      <x:c r="R41" s="309" t="n">
        <x:v>5</x:v>
      </x:c>
      <x:c r="S41" s="311" t="n">
        <x:v>4.7</x:v>
      </x:c>
      <x:c r="T41" s="309" t="str">
        <x:v>Alta</x:v>
      </x:c>
      <x:c r="U41" s="308" t="str">
        <x:v>Geolocalización, imágenes y verificación digital</x:v>
      </x:c>
      <x:c r="V41" s="308" t="str">
        <x:v>Moderada</x:v>
      </x:c>
      <x:c r="W41" s="308" t="str">
        <x:v>Datos originales, expertos y otras investigaciones OSINT</x:v>
      </x:c>
      <x:c r="X41" s="308" t="str">
        <x:v>Activo</x:v>
      </x:c>
      <x:c r="Y41" s="308"/>
      <x:c r="Z41" s="308" t="str">
        <x:v>https://www.bellingcat.com/</x:v>
      </x:c>
      <x:c r="AA41" s="310" t="n">
        <x:v>46219</x:v>
      </x:c>
    </x:row>
    <x:row r="42">
      <x:c r="A42" s="309" t="n">
        <x:v>15</x:v>
      </x:c>
      <x:c r="B42" s="312" t="str">
        <x:v>Financial Times</x:v>
      </x:c>
      <x:c r="C42" s="313" t="str">
        <x:v>https://www.ft.com/</x:v>
      </x:c>
      <x:c r="D42" s="308" t="str">
        <x:v>Reino Unido; alcance global</x:v>
      </x:c>
      <x:c r="E42" s="404" t="str">
        <x:v>Global/Occidente</x:v>
      </x:c>
      <x:c r="F42" s="308" t="str">
        <x:v>Inglés</x:v>
      </x:c>
      <x:c r="G42" s="308" t="str">
        <x:v>Medio financiero</x:v>
      </x:c>
      <x:c r="H42" s="308" t="str">
        <x:v>Economía, empresas y geopolítica</x:v>
      </x:c>
      <x:c r="I42" s="308" t="str">
        <x:v>Privado comercial</x:v>
      </x:c>
      <x:c r="J42" s="308" t="str">
        <x:v>Privado</x:v>
      </x:c>
      <x:c r="K42" s="308" t="str">
        <x:v>Centro liberal</x:v>
      </x:c>
      <x:c r="L42" s="308" t="str">
        <x:v>Global / promercado / europeísta</x:v>
      </x:c>
      <x:c r="M42" s="309" t="n">
        <x:v>5</x:v>
      </x:c>
      <x:c r="N42" s="309" t="n">
        <x:v>4</x:v>
      </x:c>
      <x:c r="O42" s="309" t="n">
        <x:v>4</x:v>
      </x:c>
      <x:c r="P42" s="309" t="n">
        <x:v>5</x:v>
      </x:c>
      <x:c r="Q42" s="309" t="n">
        <x:v>5</x:v>
      </x:c>
      <x:c r="R42" s="309" t="n">
        <x:v>4</x:v>
      </x:c>
      <x:c r="S42" s="311" t="n">
        <x:v>4.5</x:v>
      </x:c>
      <x:c r="T42" s="309" t="str">
        <x:v>Alta</x:v>
      </x:c>
      <x:c r="U42" s="308" t="str">
        <x:v>Geoeconomía, comercio y estrategia empresarial</x:v>
      </x:c>
      <x:c r="V42" s="308" t="str">
        <x:v>Moderada</x:v>
      </x:c>
      <x:c r="W42" s="308" t="str">
        <x:v>Reuters, Bloomberg y documentos oficiales</x:v>
      </x:c>
      <x:c r="X42" s="308" t="str">
        <x:v>Nuevo recomendado</x:v>
      </x:c>
      <x:c r="Y42" s="308"/>
      <x:c r="Z42" s="308" t="str">
        <x:v>https://www.ft.com/</x:v>
      </x:c>
      <x:c r="AA42" s="310" t="n">
        <x:v>46219</x:v>
      </x:c>
    </x:row>
    <x:row r="43">
      <x:c r="A43" s="309" t="n">
        <x:v>11</x:v>
      </x:c>
      <x:c r="B43" s="312" t="str">
        <x:v>The Wall Street Journal</x:v>
      </x:c>
      <x:c r="C43" s="313" t="str">
        <x:v>https://www.wsj.com/</x:v>
      </x:c>
      <x:c r="D43" s="308" t="str">
        <x:v>Estados Unidos; alcance global</x:v>
      </x:c>
      <x:c r="E43" s="404" t="str">
        <x:v>Global/Occidente</x:v>
      </x:c>
      <x:c r="F43" s="308" t="str">
        <x:v>Inglés</x:v>
      </x:c>
      <x:c r="G43" s="308" t="str">
        <x:v>Medio generalista y financiero</x:v>
      </x:c>
      <x:c r="H43" s="308" t="str">
        <x:v>Noticias económicas, empresariales y opinión</x:v>
      </x:c>
      <x:c r="I43" s="308" t="str">
        <x:v>Privado comercial</x:v>
      </x:c>
      <x:c r="J43" s="308" t="str">
        <x:v>Privado</x:v>
      </x:c>
      <x:c r="K43" s="308" t="str">
        <x:v>Centro-derecha; editorial conservador</x:v>
      </x:c>
      <x:c r="L43" s="308" t="str">
        <x:v>Mercados / estadounidense</x:v>
      </x:c>
      <x:c r="M43" s="309" t="n">
        <x:v>5</x:v>
      </x:c>
      <x:c r="N43" s="309" t="n">
        <x:v>4</x:v>
      </x:c>
      <x:c r="O43" s="309" t="n">
        <x:v>4</x:v>
      </x:c>
      <x:c r="P43" s="309" t="n">
        <x:v>5</x:v>
      </x:c>
      <x:c r="Q43" s="309" t="n">
        <x:v>5</x:v>
      </x:c>
      <x:c r="R43" s="309" t="n">
        <x:v>4</x:v>
      </x:c>
      <x:c r="S43" s="311" t="n">
        <x:v>4.5</x:v>
      </x:c>
      <x:c r="T43" s="309" t="str">
        <x:v>Alta</x:v>
      </x:c>
      <x:c r="U43" s="308" t="str">
        <x:v>Economía, empresas, sanciones y comercio</x:v>
      </x:c>
      <x:c r="V43" s="308" t="str">
        <x:v>Moderada</x:v>
      </x:c>
      <x:c r="W43" s="308" t="str">
        <x:v>Reuters, Bloomberg y documentos regulatorios</x:v>
      </x:c>
      <x:c r="X43" s="308" t="str">
        <x:v>Activo</x:v>
      </x:c>
      <x:c r="Y43" s="308" t="str">
        <x:v>La sección informativa y la página editorial tienen perfiles distintos.</x:v>
      </x:c>
      <x:c r="Z43" s="308" t="str">
        <x:v>https://www.wsj.com/</x:v>
      </x:c>
      <x:c r="AA43" s="310" t="n">
        <x:v>46219</x:v>
      </x:c>
    </x:row>
    <x:row r="44">
      <x:c r="A44" s="309" t="n">
        <x:v>2</x:v>
      </x:c>
      <x:c r="B44" s="312" t="str">
        <x:v>BBC News</x:v>
      </x:c>
      <x:c r="C44" s="313" t="str">
        <x:v>https://www.bbc.com/news</x:v>
      </x:c>
      <x:c r="D44" s="308" t="str">
        <x:v>Reino Unido; alcance global</x:v>
      </x:c>
      <x:c r="E44" s="404" t="str">
        <x:v>Global/Occidente</x:v>
      </x:c>
      <x:c r="F44" s="308" t="str">
        <x:v>Inglés y servicios internacionales</x:v>
      </x:c>
      <x:c r="G44" s="308" t="str">
        <x:v>Radiodifusor público</x:v>
      </x:c>
      <x:c r="H44" s="308" t="str">
        <x:v>Noticias generales y contexto</x:v>
      </x:c>
      <x:c r="I44" s="308" t="str">
        <x:v>Financiación pública bajo carta y gobernanza propias</x:v>
      </x:c>
      <x:c r="J44" s="308" t="str">
        <x:v>Público</x:v>
      </x:c>
      <x:c r="K44" s="308" t="str">
        <x:v>Centro</x:v>
      </x:c>
      <x:c r="L44" s="308" t="str">
        <x:v>Británica / internacionalista</x:v>
      </x:c>
      <x:c r="M44" s="309" t="n">
        <x:v>5</x:v>
      </x:c>
      <x:c r="N44" s="309" t="n">
        <x:v>4</x:v>
      </x:c>
      <x:c r="O44" s="309" t="n">
        <x:v>5</x:v>
      </x:c>
      <x:c r="P44" s="309" t="n">
        <x:v>5</x:v>
      </x:c>
      <x:c r="Q44" s="309" t="n">
        <x:v>5</x:v>
      </x:c>
      <x:c r="R44" s="309" t="n">
        <x:v>5</x:v>
      </x:c>
      <x:c r="S44" s="311" t="n">
        <x:v>4.8</x:v>
      </x:c>
      <x:c r="T44" s="309" t="str">
        <x:v>Alta</x:v>
      </x:c>
      <x:c r="U44" s="308" t="str">
        <x:v>Confirmación factual y contexto internacional</x:v>
      </x:c>
      <x:c r="V44" s="308" t="str">
        <x:v>Baja a moderada</x:v>
      </x:c>
      <x:c r="W44" s="308" t="str">
        <x:v>Reuters, AP y fuentes locales</x:v>
      </x:c>
      <x:c r="X44" s="308" t="str">
        <x:v>Activo</x:v>
      </x:c>
      <x:c r="Y44" s="308" t="str">
        <x:v>Separar cobertura informativa de análisis y opinión.</x:v>
      </x:c>
      <x:c r="Z44" s="308" t="str">
        <x:v>https://www.bbc.com/aboutthebbc/governance/charter</x:v>
      </x:c>
      <x:c r="AA44" s="310" t="n">
        <x:v>46219</x:v>
      </x:c>
    </x:row>
    <x:row r="45">
      <x:c r="A45" s="309" t="n">
        <x:v>17</x:v>
      </x:c>
      <x:c r="B45" s="312" t="str">
        <x:v>France 24</x:v>
      </x:c>
      <x:c r="C45" s="313" t="str">
        <x:v>https://www.france24.com/</x:v>
      </x:c>
      <x:c r="D45" s="308" t="str">
        <x:v>Francia; alcance global</x:v>
      </x:c>
      <x:c r="E45" s="404" t="str">
        <x:v>Global/Occidente</x:v>
      </x:c>
      <x:c r="F45" s="308" t="str">
        <x:v>Francés, inglés, árabe, español</x:v>
      </x:c>
      <x:c r="G45" s="308" t="str">
        <x:v>Radiodifusor público internacional</x:v>
      </x:c>
      <x:c r="H45" s="308" t="str">
        <x:v>Noticias internacionales</x:v>
      </x:c>
      <x:c r="I45" s="308" t="str">
        <x:v>Financiación pública francesa</x:v>
      </x:c>
      <x:c r="J45" s="308" t="str">
        <x:v>Público</x:v>
      </x:c>
      <x:c r="K45" s="308" t="str">
        <x:v>Centro</x:v>
      </x:c>
      <x:c r="L45" s="308" t="str">
        <x:v>Francesa / europea</x:v>
      </x:c>
      <x:c r="M45" s="309" t="n">
        <x:v>4</x:v>
      </x:c>
      <x:c r="N45" s="309" t="n">
        <x:v>4</x:v>
      </x:c>
      <x:c r="O45" s="309" t="n">
        <x:v>5</x:v>
      </x:c>
      <x:c r="P45" s="309" t="n">
        <x:v>4</x:v>
      </x:c>
      <x:c r="Q45" s="309" t="n">
        <x:v>4</x:v>
      </x:c>
      <x:c r="R45" s="309" t="n">
        <x:v>5</x:v>
      </x:c>
      <x:c r="S45" s="311" t="n">
        <x:v>4.3</x:v>
      </x:c>
      <x:c r="T45" s="309" t="str">
        <x:v>Alta</x:v>
      </x:c>
      <x:c r="U45" s="308" t="str">
        <x:v>Europa, África y Medio Oriente</x:v>
      </x:c>
      <x:c r="V45" s="308" t="str">
        <x:v>Moderada</x:v>
      </x:c>
      <x:c r="W45" s="308" t="str">
        <x:v>Agencias y fuentes locales</x:v>
      </x:c>
      <x:c r="X45" s="308" t="str">
        <x:v>Nuevo recomendado</x:v>
      </x:c>
      <x:c r="Y45" s="308"/>
      <x:c r="Z45" s="308" t="str">
        <x:v>https://www.france24.com/</x:v>
      </x:c>
      <x:c r="AA45" s="310" t="n">
        <x:v>46219</x:v>
      </x:c>
    </x:row>
    <x:row r="46">
      <x:c r="A46" s="309" t="n">
        <x:v>16</x:v>
      </x:c>
      <x:c r="B46" s="312" t="str">
        <x:v>Deutsche Welle</x:v>
      </x:c>
      <x:c r="C46" s="313" t="str">
        <x:v>https://www.dw.com/</x:v>
      </x:c>
      <x:c r="D46" s="308" t="str">
        <x:v>Alemania; alcance global</x:v>
      </x:c>
      <x:c r="E46" s="404" t="str">
        <x:v>Global/Occidente</x:v>
      </x:c>
      <x:c r="F46" s="308" t="str">
        <x:v>Multilingüe</x:v>
      </x:c>
      <x:c r="G46" s="308" t="str">
        <x:v>Radiodifusor público internacional</x:v>
      </x:c>
      <x:c r="H46" s="308" t="str">
        <x:v>Noticias y contexto</x:v>
      </x:c>
      <x:c r="I46" s="308" t="str">
        <x:v>Financiación pública alemana</x:v>
      </x:c>
      <x:c r="J46" s="308" t="str">
        <x:v>Público</x:v>
      </x:c>
      <x:c r="K46" s="308" t="str">
        <x:v>Centro</x:v>
      </x:c>
      <x:c r="L46" s="308" t="str">
        <x:v>Europea / alemana</x:v>
      </x:c>
      <x:c r="M46" s="309" t="n">
        <x:v>4</x:v>
      </x:c>
      <x:c r="N46" s="309" t="n">
        <x:v>4</x:v>
      </x:c>
      <x:c r="O46" s="309" t="n">
        <x:v>5</x:v>
      </x:c>
      <x:c r="P46" s="309" t="n">
        <x:v>4</x:v>
      </x:c>
      <x:c r="Q46" s="309" t="n">
        <x:v>5</x:v>
      </x:c>
      <x:c r="R46" s="309" t="n">
        <x:v>5</x:v>
      </x:c>
      <x:c r="S46" s="311" t="n">
        <x:v>4.5</x:v>
      </x:c>
      <x:c r="T46" s="309" t="str">
        <x:v>Alta</x:v>
      </x:c>
      <x:c r="U46" s="308" t="str">
        <x:v>Europa, Alemania y cobertura multilingüe</x:v>
      </x:c>
      <x:c r="V46" s="308" t="str">
        <x:v>Moderada</x:v>
      </x:c>
      <x:c r="W46" s="308" t="str">
        <x:v>Agencias y medios locales</x:v>
      </x:c>
      <x:c r="X46" s="308" t="str">
        <x:v>Nuevo recomendado</x:v>
      </x:c>
      <x:c r="Y46" s="308"/>
      <x:c r="Z46" s="308" t="str">
        <x:v>https://www.dw.com/</x:v>
      </x:c>
      <x:c r="AA46" s="310" t="n">
        <x:v>46219</x:v>
      </x:c>
    </x:row>
    <x:row r="47">
      <x:c r="A47" s="309" t="n">
        <x:v>10</x:v>
      </x:c>
      <x:c r="B47" s="312" t="str">
        <x:v>The New York Times</x:v>
      </x:c>
      <x:c r="C47" s="313" t="str">
        <x:v>https://www.nytimes.com/</x:v>
      </x:c>
      <x:c r="D47" s="308" t="str">
        <x:v>Estados Unidos; alcance global</x:v>
      </x:c>
      <x:c r="E47" s="404" t="str">
        <x:v>Global/Occidente</x:v>
      </x:c>
      <x:c r="F47" s="308" t="str">
        <x:v>Inglés</x:v>
      </x:c>
      <x:c r="G47" s="308" t="str">
        <x:v>Medio generalista</x:v>
      </x:c>
      <x:c r="H47" s="308" t="str">
        <x:v>Noticias, investigación y análisis</x:v>
      </x:c>
      <x:c r="I47" s="308" t="str">
        <x:v>Privado comercial</x:v>
      </x:c>
      <x:c r="J47" s="308" t="str">
        <x:v>Privado</x:v>
      </x:c>
      <x:c r="K47" s="308" t="str">
        <x:v>Centro-izquierda liberal</x:v>
      </x:c>
      <x:c r="L47" s="308" t="str">
        <x:v>Estadounidense / liberal internacionalista</x:v>
      </x:c>
      <x:c r="M47" s="309" t="n">
        <x:v>5</x:v>
      </x:c>
      <x:c r="N47" s="309" t="n">
        <x:v>4</x:v>
      </x:c>
      <x:c r="O47" s="309" t="n">
        <x:v>4</x:v>
      </x:c>
      <x:c r="P47" s="309" t="n">
        <x:v>5</x:v>
      </x:c>
      <x:c r="Q47" s="309" t="n">
        <x:v>5</x:v>
      </x:c>
      <x:c r="R47" s="309" t="n">
        <x:v>4</x:v>
      </x:c>
      <x:c r="S47" s="311" t="n">
        <x:v>4.5</x:v>
      </x:c>
      <x:c r="T47" s="309" t="str">
        <x:v>Alta</x:v>
      </x:c>
      <x:c r="U47" s="308" t="str">
        <x:v>Investigación y contexto profundo</x:v>
      </x:c>
      <x:c r="V47" s="308" t="str">
        <x:v>Moderada</x:v>
      </x:c>
      <x:c r="W47" s="308" t="str">
        <x:v>Agencias, documentos y prensa local</x:v>
      </x:c>
      <x:c r="X47" s="308" t="str">
        <x:v>Activo</x:v>
      </x:c>
      <x:c r="Y47" s="308" t="str">
        <x:v>Distinguir con claridad noticias, análisis y columnas.</x:v>
      </x:c>
      <x:c r="Z47" s="308" t="str">
        <x:v>https://www.nytimes.com/</x:v>
      </x:c>
      <x:c r="AA47" s="310" t="n">
        <x:v>46219</x:v>
      </x:c>
    </x:row>
    <x:row r="48">
      <x:c r="A48" s="309" t="n">
        <x:v>9</x:v>
      </x:c>
      <x:c r="B48" s="312" t="str">
        <x:v>The Guardian</x:v>
      </x:c>
      <x:c r="C48" s="313" t="str">
        <x:v>https://www.theguardian.com/international</x:v>
      </x:c>
      <x:c r="D48" s="308" t="str">
        <x:v>Reino Unido; alcance global</x:v>
      </x:c>
      <x:c r="E48" s="404" t="str">
        <x:v>Global/Occidente</x:v>
      </x:c>
      <x:c r="F48" s="308" t="str">
        <x:v>Inglés</x:v>
      </x:c>
      <x:c r="G48" s="308" t="str">
        <x:v>Medio generalista</x:v>
      </x:c>
      <x:c r="H48" s="308" t="str">
        <x:v>Noticias, investigación y opinión</x:v>
      </x:c>
      <x:c r="I48" s="308" t="str">
        <x:v>Propiedad fiduciaria</x:v>
      </x:c>
      <x:c r="J48" s="308" t="str">
        <x:v>Privado/fiduciario</x:v>
      </x:c>
      <x:c r="K48" s="308" t="str">
        <x:v>Centro-izquierda</x:v>
      </x:c>
      <x:c r="L48" s="308" t="str">
        <x:v>Liberal / derechos humanos</x:v>
      </x:c>
      <x:c r="M48" s="309" t="n">
        <x:v>4</x:v>
      </x:c>
      <x:c r="N48" s="309" t="n">
        <x:v>4</x:v>
      </x:c>
      <x:c r="O48" s="309" t="n">
        <x:v>5</x:v>
      </x:c>
      <x:c r="P48" s="309" t="n">
        <x:v>4</x:v>
      </x:c>
      <x:c r="Q48" s="309" t="n">
        <x:v>5</x:v>
      </x:c>
      <x:c r="R48" s="309" t="n">
        <x:v>4</x:v>
      </x:c>
      <x:c r="S48" s="311" t="n">
        <x:v>4.3</x:v>
      </x:c>
      <x:c r="T48" s="309" t="str">
        <x:v>Alta</x:v>
      </x:c>
      <x:c r="U48" s="308" t="str">
        <x:v>Investigación, sociedad y clima</x:v>
      </x:c>
      <x:c r="V48" s="308" t="str">
        <x:v>Moderada</x:v>
      </x:c>
      <x:c r="W48" s="308" t="str">
        <x:v>Agencias y fuentes con distinta perspectiva</x:v>
      </x:c>
      <x:c r="X48" s="308" t="str">
        <x:v>Activo</x:v>
      </x:c>
      <x:c r="Y48" s="308"/>
      <x:c r="Z48" s="308" t="str">
        <x:v>https://www.theguardian.com/international</x:v>
      </x:c>
      <x:c r="AA48" s="310" t="n">
        <x:v>46219</x:v>
      </x:c>
    </x:row>
    <x:row r="49">
      <x:c r="A49" s="309" t="n">
        <x:v>66</x:v>
      </x:c>
      <x:c r="B49" s="312" t="str">
        <x:v>Iran Human Rights</x:v>
      </x:c>
      <x:c r="C49" s="313" t="str">
        <x:v>https://iranhr.net/en/</x:v>
      </x:c>
      <x:c r="D49" s="308" t="str">
        <x:v>Noruega; foco en Irán</x:v>
      </x:c>
      <x:c r="E49" s="404" t="str">
        <x:v>Irán</x:v>
      </x:c>
      <x:c r="F49" s="308" t="str">
        <x:v>Persa/Inglés</x:v>
      </x:c>
      <x:c r="G49" s="308" t="str">
        <x:v>ONG de derechos humanos</x:v>
      </x:c>
      <x:c r="H49" s="308" t="str">
        <x:v>Documentación y advocacy</x:v>
      </x:c>
      <x:c r="I49" s="308" t="str">
        <x:v>Donaciones / ONG</x:v>
      </x:c>
      <x:c r="J49" s="308" t="str">
        <x:v>ONG/advocacy</x:v>
      </x:c>
      <x:c r="K49" s="308" t="str">
        <x:v>Derechos humanos / crítica del régimen</x:v>
      </x:c>
      <x:c r="L49" s="308" t="str">
        <x:v>Diáspora iraní</x:v>
      </x:c>
      <x:c r="M49" s="309" t="n">
        <x:v>4</x:v>
      </x:c>
      <x:c r="N49" s="309" t="n">
        <x:v>4</x:v>
      </x:c>
      <x:c r="O49" s="309" t="n">
        <x:v>4</x:v>
      </x:c>
      <x:c r="P49" s="309" t="n">
        <x:v>4</x:v>
      </x:c>
      <x:c r="Q49" s="309" t="n">
        <x:v>3</x:v>
      </x:c>
      <x:c r="R49" s="309" t="n">
        <x:v>4</x:v>
      </x:c>
      <x:c r="S49" s="311" t="n">
        <x:v>3.8</x:v>
      </x:c>
      <x:c r="T49" s="309" t="str">
        <x:v>Media-alta</x:v>
      </x:c>
      <x:c r="U49" s="308" t="str">
        <x:v>Ejecuciones y violaciones de derechos humanos</x:v>
      </x:c>
      <x:c r="V49" s="308" t="str">
        <x:v>Alta</x:v>
      </x:c>
      <x:c r="W49" s="308" t="str">
        <x:v>ONU, HRW, Amnistía y fuentes internas independientes</x:v>
      </x:c>
      <x:c r="X49" s="308" t="str">
        <x:v>Uso condicionado</x:v>
      </x:c>
      <x:c r="Y49" s="308"/>
      <x:c r="Z49" s="308" t="str">
        <x:v>https://iranhr.net/en/</x:v>
      </x:c>
      <x:c r="AA49" s="310" t="n">
        <x:v>46219</x:v>
      </x:c>
    </x:row>
    <x:row r="50">
      <x:c r="A50" s="309" t="n">
        <x:v>67</x:v>
      </x:c>
      <x:c r="B50" s="312" t="str">
        <x:v>IranWire</x:v>
      </x:c>
      <x:c r="C50" s="313" t="str">
        <x:v>https://iranwire.com/en/</x:v>
      </x:c>
      <x:c r="D50" s="308" t="str">
        <x:v>Diáspora; foco en Irán</x:v>
      </x:c>
      <x:c r="E50" s="404" t="str">
        <x:v>Irán</x:v>
      </x:c>
      <x:c r="F50" s="308" t="str">
        <x:v>Persa/Inglés</x:v>
      </x:c>
      <x:c r="G50" s="308" t="str">
        <x:v>Medio de oposición / DD. HH.</x:v>
      </x:c>
      <x:c r="H50" s="308" t="str">
        <x:v>Noticias, testimonios y documentación</x:v>
      </x:c>
      <x:c r="I50" s="308" t="str">
        <x:v>Independiente / diáspora</x:v>
      </x:c>
      <x:c r="J50" s="308" t="str">
        <x:v>Independiente</x:v>
      </x:c>
      <x:c r="K50" s="308" t="str">
        <x:v>Crítico del régimen</x:v>
      </x:c>
      <x:c r="L50" s="308" t="str">
        <x:v>Diáspora iraní</x:v>
      </x:c>
      <x:c r="M50" s="309" t="n">
        <x:v>3</x:v>
      </x:c>
      <x:c r="N50" s="309" t="n">
        <x:v>4</x:v>
      </x:c>
      <x:c r="O50" s="309" t="n">
        <x:v>3</x:v>
      </x:c>
      <x:c r="P50" s="309" t="n">
        <x:v>3</x:v>
      </x:c>
      <x:c r="Q50" s="309" t="n">
        <x:v>3</x:v>
      </x:c>
      <x:c r="R50" s="309" t="n">
        <x:v>4</x:v>
      </x:c>
      <x:c r="S50" s="311" t="n">
        <x:v>3.3</x:v>
      </x:c>
      <x:c r="T50" s="309" t="str">
        <x:v>Media</x:v>
      </x:c>
      <x:c r="U50" s="308" t="str">
        <x:v>Testimonios, sociedad iraní y temas censurados</x:v>
      </x:c>
      <x:c r="V50" s="308" t="str">
        <x:v>Alta</x:v>
      </x:c>
      <x:c r="W50" s="308" t="str">
        <x:v>Reuters, ONU, BBC Persian y verificación documental</x:v>
      </x:c>
      <x:c r="X50" s="308" t="str">
        <x:v>Uso condicionado</x:v>
      </x:c>
      <x:c r="Y50" s="308"/>
      <x:c r="Z50" s="308" t="str">
        <x:v>https://iranwire.com/en/</x:v>
      </x:c>
      <x:c r="AA50" s="310" t="n">
        <x:v>46219</x:v>
      </x:c>
    </x:row>
    <x:row r="51">
      <x:c r="A51" s="309" t="n">
        <x:v>65</x:v>
      </x:c>
      <x:c r="B51" s="312" t="str">
        <x:v>The Seventh Eye</x:v>
      </x:c>
      <x:c r="C51" s="313" t="str">
        <x:v>https://www.the7eye.org.il/</x:v>
      </x:c>
      <x:c r="D51" s="308" t="str">
        <x:v>Israel</x:v>
      </x:c>
      <x:c r="E51" s="404" t="str">
        <x:v>Medio Oriente</x:v>
      </x:c>
      <x:c r="F51" s="308" t="str">
        <x:v>Hebreo</x:v>
      </x:c>
      <x:c r="G51" s="308" t="str">
        <x:v>Watchdog de medios</x:v>
      </x:c>
      <x:c r="H51" s="308" t="str">
        <x:v>Análisis de medios, propiedad y ética</x:v>
      </x:c>
      <x:c r="I51" s="308" t="str">
        <x:v>Organización independiente</x:v>
      </x:c>
      <x:c r="J51" s="308" t="str">
        <x:v>Independiente</x:v>
      </x:c>
      <x:c r="K51" s="308" t="str">
        <x:v>Crítico / plural</x:v>
      </x:c>
      <x:c r="L51" s="308" t="str">
        <x:v>Israelí / observación mediática</x:v>
      </x:c>
      <x:c r="M51" s="309" t="n">
        <x:v>4</x:v>
      </x:c>
      <x:c r="N51" s="309" t="n">
        <x:v>4</x:v>
      </x:c>
      <x:c r="O51" s="309" t="n">
        <x:v>4</x:v>
      </x:c>
      <x:c r="P51" s="309" t="n">
        <x:v>4</x:v>
      </x:c>
      <x:c r="Q51" s="309" t="n">
        <x:v>3</x:v>
      </x:c>
      <x:c r="R51" s="309" t="n">
        <x:v>5</x:v>
      </x:c>
      <x:c r="S51" s="311" t="n">
        <x:v>4</x:v>
      </x:c>
      <x:c r="T51" s="309" t="str">
        <x:v>Media-alta</x:v>
      </x:c>
      <x:c r="U51" s="308" t="str">
        <x:v>Ecosistema mediático israelí y conflictos de interés</x:v>
      </x:c>
      <x:c r="V51" s="308" t="str">
        <x:v>Moderada</x:v>
      </x:c>
      <x:c r="W51" s="308" t="str">
        <x:v>Documentos corporativos y otras evaluaciones</x:v>
      </x:c>
      <x:c r="X51" s="308" t="str">
        <x:v>Activo</x:v>
      </x:c>
      <x:c r="Y51" s="308"/>
      <x:c r="Z51" s="308" t="str">
        <x:v>https://www.the7eye.org.il/</x:v>
      </x:c>
      <x:c r="AA51" s="310" t="n">
        <x:v>46219</x:v>
      </x:c>
    </x:row>
    <x:row r="52">
      <x:c r="A52" s="309" t="n">
        <x:v>25</x:v>
      </x:c>
      <x:c r="B52" s="312" t="str">
        <x:v>Khaleej Times</x:v>
      </x:c>
      <x:c r="C52" s="313" t="str">
        <x:v>https://www.khaleejtimes.com/</x:v>
      </x:c>
      <x:c r="D52" s="308" t="str">
        <x:v>Emiratos Árabes Unidos</x:v>
      </x:c>
      <x:c r="E52" s="404" t="str">
        <x:v>Medio Oriente</x:v>
      </x:c>
      <x:c r="F52" s="308" t="str">
        <x:v>Inglés</x:v>
      </x:c>
      <x:c r="G52" s="308" t="str">
        <x:v>Medio regional</x:v>
      </x:c>
      <x:c r="H52" s="308" t="str">
        <x:v>Noticias generales y económicas</x:v>
      </x:c>
      <x:c r="I52" s="308" t="str">
        <x:v>Privado comercial en entorno altamente regulado</x:v>
      </x:c>
      <x:c r="J52" s="308" t="str">
        <x:v>Privado/regulado</x:v>
      </x:c>
      <x:c r="K52" s="308" t="str">
        <x:v>Proinstitucional</x:v>
      </x:c>
      <x:c r="L52" s="308" t="str">
        <x:v>Emiratí / Golfo</x:v>
      </x:c>
      <x:c r="M52" s="309" t="n">
        <x:v>3</x:v>
      </x:c>
      <x:c r="N52" s="309" t="n">
        <x:v>2</x:v>
      </x:c>
      <x:c r="O52" s="309" t="n">
        <x:v>3</x:v>
      </x:c>
      <x:c r="P52" s="309" t="n">
        <x:v>3</x:v>
      </x:c>
      <x:c r="Q52" s="309" t="n">
        <x:v>3</x:v>
      </x:c>
      <x:c r="R52" s="309" t="n">
        <x:v>4</x:v>
      </x:c>
      <x:c r="S52" s="311" t="n">
        <x:v>3</x:v>
      </x:c>
      <x:c r="T52" s="309" t="str">
        <x:v>Media</x:v>
      </x:c>
      <x:c r="U52" s="308" t="str">
        <x:v>Economía y vida regional del Golfo</x:v>
      </x:c>
      <x:c r="V52" s="308" t="str">
        <x:v>Alta en asuntos internos sensibles</x:v>
      </x:c>
      <x:c r="W52" s="308" t="str">
        <x:v>Reuters, AFP y medios regionales independientes</x:v>
      </x:c>
      <x:c r="X52" s="308" t="str">
        <x:v>Uso condicionado</x:v>
      </x:c>
      <x:c r="Y52" s="308"/>
      <x:c r="Z52" s="308" t="str">
        <x:v>https://www.khaleejtimes.com/</x:v>
      </x:c>
      <x:c r="AA52" s="310" t="n">
        <x:v>46219</x:v>
      </x:c>
    </x:row>
    <x:row r="53">
      <x:c r="A53" s="309" t="n">
        <x:v>21</x:v>
      </x:c>
      <x:c r="B53" s="312" t="str">
        <x:v>Gulf News</x:v>
      </x:c>
      <x:c r="C53" s="313" t="str">
        <x:v>https://gulfnews.com/</x:v>
      </x:c>
      <x:c r="D53" s="308" t="str">
        <x:v>Emiratos Árabes Unidos</x:v>
      </x:c>
      <x:c r="E53" s="404" t="str">
        <x:v>Medio Oriente</x:v>
      </x:c>
      <x:c r="F53" s="308" t="str">
        <x:v>Inglés</x:v>
      </x:c>
      <x:c r="G53" s="308" t="str">
        <x:v>Medio regional</x:v>
      </x:c>
      <x:c r="H53" s="308" t="str">
        <x:v>Noticias generales y regionales</x:v>
      </x:c>
      <x:c r="I53" s="308" t="str">
        <x:v>Privado comercial en entorno altamente regulado</x:v>
      </x:c>
      <x:c r="J53" s="308" t="str">
        <x:v>Privado/regulado</x:v>
      </x:c>
      <x:c r="K53" s="308" t="str">
        <x:v>Proinstitucional</x:v>
      </x:c>
      <x:c r="L53" s="308" t="str">
        <x:v>Emiratí / Golfo</x:v>
      </x:c>
      <x:c r="M53" s="309" t="n">
        <x:v>3</x:v>
      </x:c>
      <x:c r="N53" s="309" t="n">
        <x:v>2</x:v>
      </x:c>
      <x:c r="O53" s="309" t="n">
        <x:v>3</x:v>
      </x:c>
      <x:c r="P53" s="309" t="n">
        <x:v>3</x:v>
      </x:c>
      <x:c r="Q53" s="309" t="n">
        <x:v>3</x:v>
      </x:c>
      <x:c r="R53" s="309" t="n">
        <x:v>4</x:v>
      </x:c>
      <x:c r="S53" s="311" t="n">
        <x:v>3</x:v>
      </x:c>
      <x:c r="T53" s="309" t="str">
        <x:v>Media</x:v>
      </x:c>
      <x:c r="U53" s="308" t="str">
        <x:v>Economía y narrativa oficial del Golfo</x:v>
      </x:c>
      <x:c r="V53" s="308" t="str">
        <x:v>Alta en política interna y regional sensible</x:v>
      </x:c>
      <x:c r="W53" s="308" t="str">
        <x:v>Reuters, AFP y medios árabes independientes</x:v>
      </x:c>
      <x:c r="X53" s="308" t="str">
        <x:v>Uso condicionado</x:v>
      </x:c>
      <x:c r="Y53" s="308"/>
      <x:c r="Z53" s="308" t="str">
        <x:v>https://gulfnews.com/</x:v>
      </x:c>
      <x:c r="AA53" s="310" t="n">
        <x:v>46219</x:v>
      </x:c>
    </x:row>
    <x:row r="54">
      <x:c r="A54" s="309" t="n">
        <x:v>20</x:v>
      </x:c>
      <x:c r="B54" s="312" t="str">
        <x:v>Channel 13 (Israel)</x:v>
      </x:c>
      <x:c r="C54" s="313" t="str">
        <x:v>https://13tv.co.il/</x:v>
      </x:c>
      <x:c r="D54" s="308" t="str">
        <x:v>Israel</x:v>
      </x:c>
      <x:c r="E54" s="404" t="str">
        <x:v>Medio Oriente</x:v>
      </x:c>
      <x:c r="F54" s="308" t="str">
        <x:v>Hebreo</x:v>
      </x:c>
      <x:c r="G54" s="308" t="str">
        <x:v>Televisión comercial</x:v>
      </x:c>
      <x:c r="H54" s="308" t="str">
        <x:v>Noticias nacionales</x:v>
      </x:c>
      <x:c r="I54" s="308" t="str">
        <x:v>Privado comercial</x:v>
      </x:c>
      <x:c r="J54" s="308" t="str">
        <x:v>Privado</x:v>
      </x:c>
      <x:c r="K54" s="308" t="str">
        <x:v>Centro; variable por programa</x:v>
      </x:c>
      <x:c r="L54" s="308" t="str">
        <x:v>Israelí</x:v>
      </x:c>
      <x:c r="M54" s="309" t="n">
        <x:v>4</x:v>
      </x:c>
      <x:c r="N54" s="309" t="n">
        <x:v>4</x:v>
      </x:c>
      <x:c r="O54" s="309" t="n">
        <x:v>3</x:v>
      </x:c>
      <x:c r="P54" s="309" t="n">
        <x:v>4</x:v>
      </x:c>
      <x:c r="Q54" s="309" t="n">
        <x:v>4</x:v>
      </x:c>
      <x:c r="R54" s="309" t="n">
        <x:v>3</x:v>
      </x:c>
      <x:c r="S54" s="311" t="n">
        <x:v>3.7</x:v>
      </x:c>
      <x:c r="T54" s="309" t="str">
        <x:v>Media-alta</x:v>
      </x:c>
      <x:c r="U54" s="308" t="str">
        <x:v>Actualidad y debate político israelí</x:v>
      </x:c>
      <x:c r="V54" s="308" t="str">
        <x:v>Moderada</x:v>
      </x:c>
      <x:c r="W54" s="308" t="str">
        <x:v>Kan, N12, Haaretz, TOI y fuentes oficiales</x:v>
      </x:c>
      <x:c r="X54" s="308" t="str">
        <x:v>Activo</x:v>
      </x:c>
      <x:c r="Y54" s="308"/>
      <x:c r="Z54" s="308" t="str">
        <x:v>https://13tv.co.il/</x:v>
      </x:c>
      <x:c r="AA54" s="310" t="n">
        <x:v>46219</x:v>
      </x:c>
    </x:row>
    <x:row r="55">
      <x:c r="A55" s="309" t="n">
        <x:v>24</x:v>
      </x:c>
      <x:c r="B55" s="312" t="str">
        <x:v>Kan (Israel)</x:v>
      </x:c>
      <x:c r="C55" s="313" t="str">
        <x:v>https://www.kan.org.il/</x:v>
      </x:c>
      <x:c r="D55" s="308" t="str">
        <x:v>Israel</x:v>
      </x:c>
      <x:c r="E55" s="404" t="str">
        <x:v>Medio Oriente</x:v>
      </x:c>
      <x:c r="F55" s="308" t="str">
        <x:v>Hebreo/Árabe</x:v>
      </x:c>
      <x:c r="G55" s="308" t="str">
        <x:v>Radiodifusor público</x:v>
      </x:c>
      <x:c r="H55" s="308" t="str">
        <x:v>Noticias nacionales e internacionales</x:v>
      </x:c>
      <x:c r="I55" s="308" t="str">
        <x:v>Financiación pública</x:v>
      </x:c>
      <x:c r="J55" s="308" t="str">
        <x:v>Público</x:v>
      </x:c>
      <x:c r="K55" s="308" t="str">
        <x:v>Centro; plural</x:v>
      </x:c>
      <x:c r="L55" s="308" t="str">
        <x:v>Israelí / servicio público</x:v>
      </x:c>
      <x:c r="M55" s="309" t="n">
        <x:v>4</x:v>
      </x:c>
      <x:c r="N55" s="309" t="n">
        <x:v>4</x:v>
      </x:c>
      <x:c r="O55" s="309" t="n">
        <x:v>5</x:v>
      </x:c>
      <x:c r="P55" s="309" t="n">
        <x:v>4</x:v>
      </x:c>
      <x:c r="Q55" s="309" t="n">
        <x:v>4</x:v>
      </x:c>
      <x:c r="R55" s="309" t="n">
        <x:v>4</x:v>
      </x:c>
      <x:c r="S55" s="311" t="n">
        <x:v>4.2</x:v>
      </x:c>
      <x:c r="T55" s="309" t="str">
        <x:v>Media-alta</x:v>
      </x:c>
      <x:c r="U55" s="308" t="str">
        <x:v>Cobertura nacional y fuente audiovisual pública</x:v>
      </x:c>
      <x:c r="V55" s="308" t="str">
        <x:v>Moderada</x:v>
      </x:c>
      <x:c r="W55" s="308" t="str">
        <x:v>N12, Channel 13 y prensa escrita</x:v>
      </x:c>
      <x:c r="X55" s="308" t="str">
        <x:v>Activo</x:v>
      </x:c>
      <x:c r="Y55" s="308"/>
      <x:c r="Z55" s="308" t="str">
        <x:v>https://www.kan.org.il/</x:v>
      </x:c>
      <x:c r="AA55" s="310" t="n">
        <x:v>46219</x:v>
      </x:c>
    </x:row>
    <x:row r="56">
      <x:c r="A56" s="309" t="n">
        <x:v>27</x:v>
      </x:c>
      <x:c r="B56" s="312" t="str">
        <x:v>N12 (Israel)</x:v>
      </x:c>
      <x:c r="C56" s="313" t="str">
        <x:v>https://www.n12.co.il/</x:v>
      </x:c>
      <x:c r="D56" s="308" t="str">
        <x:v>Israel</x:v>
      </x:c>
      <x:c r="E56" s="404" t="str">
        <x:v>Medio Oriente</x:v>
      </x:c>
      <x:c r="F56" s="308" t="str">
        <x:v>Hebreo</x:v>
      </x:c>
      <x:c r="G56" s="308" t="str">
        <x:v>Portal de noticias de televisión</x:v>
      </x:c>
      <x:c r="H56" s="308" t="str">
        <x:v>Noticias nacionales y breaking news</x:v>
      </x:c>
      <x:c r="I56" s="308" t="str">
        <x:v>Privado comercial</x:v>
      </x:c>
      <x:c r="J56" s="308" t="str">
        <x:v>Privado</x:v>
      </x:c>
      <x:c r="K56" s="308" t="str">
        <x:v>Centro; variable por programa</x:v>
      </x:c>
      <x:c r="L56" s="308" t="str">
        <x:v>Israelí</x:v>
      </x:c>
      <x:c r="M56" s="309" t="n">
        <x:v>4</x:v>
      </x:c>
      <x:c r="N56" s="309" t="n">
        <x:v>3</x:v>
      </x:c>
      <x:c r="O56" s="309" t="n">
        <x:v>3</x:v>
      </x:c>
      <x:c r="P56" s="309" t="n">
        <x:v>4</x:v>
      </x:c>
      <x:c r="Q56" s="309" t="n">
        <x:v>4</x:v>
      </x:c>
      <x:c r="R56" s="309" t="n">
        <x:v>3</x:v>
      </x:c>
      <x:c r="S56" s="311" t="n">
        <x:v>3.5</x:v>
      </x:c>
      <x:c r="T56" s="309" t="str">
        <x:v>Media-alta</x:v>
      </x:c>
      <x:c r="U56" s="308" t="str">
        <x:v>Noticias urgentes y política israelí</x:v>
      </x:c>
      <x:c r="V56" s="308" t="str">
        <x:v>Moderada</x:v>
      </x:c>
      <x:c r="W56" s="308" t="str">
        <x:v>Kan, Channel 13 y documentos oficiales</x:v>
      </x:c>
      <x:c r="X56" s="308" t="str">
        <x:v>Activo</x:v>
      </x:c>
      <x:c r="Y56" s="308"/>
      <x:c r="Z56" s="308" t="str">
        <x:v>https://www.n12.co.il/</x:v>
      </x:c>
      <x:c r="AA56" s="310" t="n">
        <x:v>46219</x:v>
      </x:c>
    </x:row>
    <x:row r="57">
      <x:c r="A57" s="309" t="n">
        <x:v>29</x:v>
      </x:c>
      <x:c r="B57" s="312" t="str">
        <x:v>Ynet</x:v>
      </x:c>
      <x:c r="C57" s="313" t="str">
        <x:v>https://www.ynetnews.com/</x:v>
      </x:c>
      <x:c r="D57" s="308" t="str">
        <x:v>Israel</x:v>
      </x:c>
      <x:c r="E57" s="404" t="str">
        <x:v>Medio Oriente</x:v>
      </x:c>
      <x:c r="F57" s="308" t="str">
        <x:v>Hebreo/Inglés</x:v>
      </x:c>
      <x:c r="G57" s="308" t="str">
        <x:v>Portal generalista</x:v>
      </x:c>
      <x:c r="H57" s="308" t="str">
        <x:v>Noticias nacionales y opinión</x:v>
      </x:c>
      <x:c r="I57" s="308" t="str">
        <x:v>Privado comercial</x:v>
      </x:c>
      <x:c r="J57" s="308" t="str">
        <x:v>Privado</x:v>
      </x:c>
      <x:c r="K57" s="308" t="str">
        <x:v>Centro</x:v>
      </x:c>
      <x:c r="L57" s="308" t="str">
        <x:v>Israelí</x:v>
      </x:c>
      <x:c r="M57" s="309" t="n">
        <x:v>4</x:v>
      </x:c>
      <x:c r="N57" s="309" t="n">
        <x:v>3</x:v>
      </x:c>
      <x:c r="O57" s="309" t="n">
        <x:v>3</x:v>
      </x:c>
      <x:c r="P57" s="309" t="n">
        <x:v>4</x:v>
      </x:c>
      <x:c r="Q57" s="309" t="n">
        <x:v>3</x:v>
      </x:c>
      <x:c r="R57" s="309" t="n">
        <x:v>3</x:v>
      </x:c>
      <x:c r="S57" s="311" t="n">
        <x:v>3.3</x:v>
      </x:c>
      <x:c r="T57" s="309" t="str">
        <x:v>Media</x:v>
      </x:c>
      <x:c r="U57" s="308" t="str">
        <x:v>Actualidad israelí de amplio alcance</x:v>
      </x:c>
      <x:c r="V57" s="308" t="str">
        <x:v>Moderada</x:v>
      </x:c>
      <x:c r="W57" s="308" t="str">
        <x:v>Kan, N12, Haaretz y fuentes oficiales</x:v>
      </x:c>
      <x:c r="X57" s="308" t="str">
        <x:v>Activo</x:v>
      </x:c>
      <x:c r="Y57" s="308"/>
      <x:c r="Z57" s="308" t="str">
        <x:v>https://www.ynetnews.com/</x:v>
      </x:c>
      <x:c r="AA57" s="310" t="n">
        <x:v>46219</x:v>
      </x:c>
    </x:row>
    <x:row r="58">
      <x:c r="A58" s="309" t="n">
        <x:v>28</x:v>
      </x:c>
      <x:c r="B58" s="312" t="str">
        <x:v>The Times of Israel</x:v>
      </x:c>
      <x:c r="C58" s="313" t="str">
        <x:v>https://www.timesofisrael.com/</x:v>
      </x:c>
      <x:c r="D58" s="308" t="str">
        <x:v>Israel; alcance internacional</x:v>
      </x:c>
      <x:c r="E58" s="404" t="str">
        <x:v>Medio Oriente</x:v>
      </x:c>
      <x:c r="F58" s="308" t="str">
        <x:v>Inglés/Hebreo/Árabe</x:v>
      </x:c>
      <x:c r="G58" s="308" t="str">
        <x:v>Medio digital generalista</x:v>
      </x:c>
      <x:c r="H58" s="308" t="str">
        <x:v>Noticias y análisis</x:v>
      </x:c>
      <x:c r="I58" s="308" t="str">
        <x:v>Privado/independiente</x:v>
      </x:c>
      <x:c r="J58" s="308" t="str">
        <x:v>Privado</x:v>
      </x:c>
      <x:c r="K58" s="308" t="str">
        <x:v>Centro liberal</x:v>
      </x:c>
      <x:c r="L58" s="308" t="str">
        <x:v>Israelí / diáspora judía</x:v>
      </x:c>
      <x:c r="M58" s="309" t="n">
        <x:v>4</x:v>
      </x:c>
      <x:c r="N58" s="309" t="n">
        <x:v>4</x:v>
      </x:c>
      <x:c r="O58" s="309" t="n">
        <x:v>4</x:v>
      </x:c>
      <x:c r="P58" s="309" t="n">
        <x:v>4</x:v>
      </x:c>
      <x:c r="Q58" s="309" t="n">
        <x:v>4</x:v>
      </x:c>
      <x:c r="R58" s="309" t="n">
        <x:v>4</x:v>
      </x:c>
      <x:c r="S58" s="311" t="n">
        <x:v>4</x:v>
      </x:c>
      <x:c r="T58" s="309" t="str">
        <x:v>Media-alta</x:v>
      </x:c>
      <x:c r="U58" s="308" t="str">
        <x:v>Israel y Medio Oriente para audiencia internacional</x:v>
      </x:c>
      <x:c r="V58" s="308" t="str">
        <x:v>Moderada</x:v>
      </x:c>
      <x:c r="W58" s="308" t="str">
        <x:v>Reuters, Kan, medios árabes y documentos</x:v>
      </x:c>
      <x:c r="X58" s="308" t="str">
        <x:v>Activo</x:v>
      </x:c>
      <x:c r="Y58" s="308"/>
      <x:c r="Z58" s="308" t="str">
        <x:v>https://www.timesofisrael.com/</x:v>
      </x:c>
      <x:c r="AA58" s="310" t="n">
        <x:v>46219</x:v>
      </x:c>
    </x:row>
    <x:row r="59">
      <x:c r="A59" s="309" t="n">
        <x:v>26</x:v>
      </x:c>
      <x:c r="B59" s="312" t="str">
        <x:v>Maariv</x:v>
      </x:c>
      <x:c r="C59" s="313" t="str">
        <x:v>https://www.maariv.co.il/</x:v>
      </x:c>
      <x:c r="D59" s="308" t="str">
        <x:v>Israel</x:v>
      </x:c>
      <x:c r="E59" s="404" t="str">
        <x:v>Medio Oriente</x:v>
      </x:c>
      <x:c r="F59" s="308" t="str">
        <x:v>Hebreo</x:v>
      </x:c>
      <x:c r="G59" s="308" t="str">
        <x:v>Medio generalista</x:v>
      </x:c>
      <x:c r="H59" s="308" t="str">
        <x:v>Noticias y opinión</x:v>
      </x:c>
      <x:c r="I59" s="308" t="str">
        <x:v>Privado comercial</x:v>
      </x:c>
      <x:c r="J59" s="308" t="str">
        <x:v>Privado</x:v>
      </x:c>
      <x:c r="K59" s="308" t="str">
        <x:v>Centro-derecha</x:v>
      </x:c>
      <x:c r="L59" s="308" t="str">
        <x:v>Israelí</x:v>
      </x:c>
      <x:c r="M59" s="309" t="n">
        <x:v>4</x:v>
      </x:c>
      <x:c r="N59" s="309" t="n">
        <x:v>3</x:v>
      </x:c>
      <x:c r="O59" s="309" t="n">
        <x:v>3</x:v>
      </x:c>
      <x:c r="P59" s="309" t="n">
        <x:v>3</x:v>
      </x:c>
      <x:c r="Q59" s="309" t="n">
        <x:v>3</x:v>
      </x:c>
      <x:c r="R59" s="309" t="n">
        <x:v>3</x:v>
      </x:c>
      <x:c r="S59" s="311" t="n">
        <x:v>3.2</x:v>
      </x:c>
      <x:c r="T59" s="309" t="str">
        <x:v>Media</x:v>
      </x:c>
      <x:c r="U59" s="308" t="str">
        <x:v>Política y sociedad israelí</x:v>
      </x:c>
      <x:c r="V59" s="308" t="str">
        <x:v>Moderada</x:v>
      </x:c>
      <x:c r="W59" s="308" t="str">
        <x:v>Kan, Haaretz, Ynet y fuentes oficiales</x:v>
      </x:c>
      <x:c r="X59" s="308" t="str">
        <x:v>Activo</x:v>
      </x:c>
      <x:c r="Y59" s="308"/>
      <x:c r="Z59" s="308" t="str">
        <x:v>https://www.maariv.co.il/</x:v>
      </x:c>
      <x:c r="AA59" s="310" t="n">
        <x:v>46219</x:v>
      </x:c>
    </x:row>
    <x:row r="60">
      <x:c r="A60" s="309" t="n">
        <x:v>19</x:v>
      </x:c>
      <x:c r="B60" s="312" t="str">
        <x:v>Al Jazeera Arabic</x:v>
      </x:c>
      <x:c r="C60" s="313" t="str">
        <x:v>https://www.aljazeera.net/</x:v>
      </x:c>
      <x:c r="D60" s="308" t="str">
        <x:v>Qatar; alcance regional</x:v>
      </x:c>
      <x:c r="E60" s="404" t="str">
        <x:v>Medio Oriente</x:v>
      </x:c>
      <x:c r="F60" s="308" t="str">
        <x:v>Árabe</x:v>
      </x:c>
      <x:c r="G60" s="308" t="str">
        <x:v>Red regional</x:v>
      </x:c>
      <x:c r="H60" s="308" t="str">
        <x:v>Noticias, debates y análisis</x:v>
      </x:c>
      <x:c r="I60" s="308" t="str">
        <x:v>Financiación pública catarí</x:v>
      </x:c>
      <x:c r="J60" s="308" t="str">
        <x:v>Estatal/afiliado al Estado</x:v>
      </x:c>
      <x:c r="K60" s="308" t="str">
        <x:v>Variable por programa</x:v>
      </x:c>
      <x:c r="L60" s="308" t="str">
        <x:v>Catarí / panárabe</x:v>
      </x:c>
      <x:c r="M60" s="309" t="n">
        <x:v>3</x:v>
      </x:c>
      <x:c r="N60" s="309" t="n">
        <x:v>2</x:v>
      </x:c>
      <x:c r="O60" s="309" t="n">
        <x:v>4</x:v>
      </x:c>
      <x:c r="P60" s="309" t="n">
        <x:v>3</x:v>
      </x:c>
      <x:c r="Q60" s="309" t="n">
        <x:v>3</x:v>
      </x:c>
      <x:c r="R60" s="309" t="n">
        <x:v>3</x:v>
      </x:c>
      <x:c r="S60" s="311" t="n">
        <x:v>3</x:v>
      </x:c>
      <x:c r="T60" s="309" t="str">
        <x:v>Media</x:v>
      </x:c>
      <x:c r="U60" s="308" t="str">
        <x:v>Seguimiento de narrativas árabes y agenda regional</x:v>
      </x:c>
      <x:c r="V60" s="308" t="str">
        <x:v>Alta</x:v>
      </x:c>
      <x:c r="W60" s="308" t="str">
        <x:v>Reuters/AP, medios locales y documentación primaria</x:v>
      </x:c>
      <x:c r="X60" s="308" t="str">
        <x:v>Nuevo recomendado</x:v>
      </x:c>
      <x:c r="Y60" s="308" t="str">
        <x:v>Evaluar por programa; mayor carga política que la edición inglesa.</x:v>
      </x:c>
      <x:c r="Z60" s="308" t="str">
        <x:v>https://www.aljazeera.com/about-us</x:v>
      </x:c>
      <x:c r="AA60" s="310" t="n">
        <x:v>46219</x:v>
      </x:c>
    </x:row>
    <x:row r="61">
      <x:c r="A61" s="309" t="n">
        <x:v>30</x:v>
      </x:c>
      <x:c r="B61" s="312" t="str">
        <x:v>Middle East Eye</x:v>
      </x:c>
      <x:c r="C61" s="313" t="str">
        <x:v>https://www.middleeasteye.net/</x:v>
      </x:c>
      <x:c r="D61" s="308" t="str">
        <x:v>Reino Unido; foco regional</x:v>
      </x:c>
      <x:c r="E61" s="404" t="str">
        <x:v>Medio Oriente</x:v>
      </x:c>
      <x:c r="F61" s="308" t="str">
        <x:v>Inglés</x:v>
      </x:c>
      <x:c r="G61" s="308" t="str">
        <x:v>Medio regional independiente</x:v>
      </x:c>
      <x:c r="H61" s="308" t="str">
        <x:v>Noticias, investigación y opinión</x:v>
      </x:c>
      <x:c r="I61" s="308" t="str">
        <x:v>Privado; transparencia discutida</x:v>
      </x:c>
      <x:c r="J61" s="308" t="str">
        <x:v>Privado</x:v>
      </x:c>
      <x:c r="K61" s="308" t="str">
        <x:v>Centro-izquierda</x:v>
      </x:c>
      <x:c r="L61" s="308" t="str">
        <x:v>Regional / crítica de gobiernos occidentales e Israel</x:v>
      </x:c>
      <x:c r="M61" s="309" t="n">
        <x:v>3</x:v>
      </x:c>
      <x:c r="N61" s="309" t="n">
        <x:v>3</x:v>
      </x:c>
      <x:c r="O61" s="309" t="n">
        <x:v>2</x:v>
      </x:c>
      <x:c r="P61" s="309" t="n">
        <x:v>3</x:v>
      </x:c>
      <x:c r="Q61" s="309" t="n">
        <x:v>3</x:v>
      </x:c>
      <x:c r="R61" s="309" t="n">
        <x:v>3</x:v>
      </x:c>
      <x:c r="S61" s="311" t="n">
        <x:v>2.8</x:v>
      </x:c>
      <x:c r="T61" s="309" t="str">
        <x:v>Media</x:v>
      </x:c>
      <x:c r="U61" s="308" t="str">
        <x:v>Perspectivas regionales y temas subcubiertos</x:v>
      </x:c>
      <x:c r="V61" s="308" t="str">
        <x:v>Alta</x:v>
      </x:c>
      <x:c r="W61" s="308" t="str">
        <x:v>Reuters/AP, medios locales y documentos primarios</x:v>
      </x:c>
      <x:c r="X61" s="308" t="str">
        <x:v>Uso condicionado</x:v>
      </x:c>
      <x:c r="Y61" s="308" t="str">
        <x:v>Útil para diversidad de perspectiva; no usar en solitario.</x:v>
      </x:c>
      <x:c r="Z61" s="308" t="str">
        <x:v>https://www.middleeasteye.net/</x:v>
      </x:c>
      <x:c r="AA61" s="310" t="n">
        <x:v>46219</x:v>
      </x:c>
    </x:row>
    <x:row r="62">
      <x:c r="A62" s="309" t="n">
        <x:v>23</x:v>
      </x:c>
      <x:c r="B62" s="312" t="str">
        <x:v>Haaretz</x:v>
      </x:c>
      <x:c r="C62" s="313" t="str">
        <x:v>https://www.haaretz.com/</x:v>
      </x:c>
      <x:c r="D62" s="308" t="str">
        <x:v>Israel; edición hebrea e inglesa</x:v>
      </x:c>
      <x:c r="E62" s="404" t="str">
        <x:v>Medio Oriente</x:v>
      </x:c>
      <x:c r="F62" s="308" t="str">
        <x:v>Hebreo/Inglés</x:v>
      </x:c>
      <x:c r="G62" s="308" t="str">
        <x:v>Medio generalista</x:v>
      </x:c>
      <x:c r="H62" s="308" t="str">
        <x:v>Noticias, investigación, análisis y opinión</x:v>
      </x:c>
      <x:c r="I62" s="308" t="str">
        <x:v>Privado comercial</x:v>
      </x:c>
      <x:c r="J62" s="308" t="str">
        <x:v>Privado</x:v>
      </x:c>
      <x:c r="K62" s="308" t="str">
        <x:v>Liberal / centro-izquierda</x:v>
      </x:c>
      <x:c r="L62" s="308" t="str">
        <x:v>Israelí liberal; crítico de la ocupación</x:v>
      </x:c>
      <x:c r="M62" s="309" t="n">
        <x:v>4</x:v>
      </x:c>
      <x:c r="N62" s="309" t="n">
        <x:v>4</x:v>
      </x:c>
      <x:c r="O62" s="309" t="n">
        <x:v>4</x:v>
      </x:c>
      <x:c r="P62" s="309" t="n">
        <x:v>4</x:v>
      </x:c>
      <x:c r="Q62" s="309" t="n">
        <x:v>4</x:v>
      </x:c>
      <x:c r="R62" s="309" t="n">
        <x:v>3</x:v>
      </x:c>
      <x:c r="S62" s="311" t="n">
        <x:v>3.8</x:v>
      </x:c>
      <x:c r="T62" s="309" t="str">
        <x:v>Media-alta</x:v>
      </x:c>
      <x:c r="U62" s="308" t="str">
        <x:v>Investigación y perspectiva liberal israelí</x:v>
      </x:c>
      <x:c r="V62" s="308" t="str">
        <x:v>Moderada</x:v>
      </x:c>
      <x:c r="W62" s="308" t="str">
        <x:v>Kan, TOI, Ynet, medios árabes y fuentes oficiales</x:v>
      </x:c>
      <x:c r="X62" s="308" t="str">
        <x:v>Activo</x:v>
      </x:c>
      <x:c r="Y62" s="308" t="str">
        <x:v>Separar noticias, análisis y columnas editoriales.</x:v>
      </x:c>
      <x:c r="Z62" s="308" t="str">
        <x:v>https://www.haaretz.com/</x:v>
      </x:c>
      <x:c r="AA62" s="310" t="n">
        <x:v>46219</x:v>
      </x:c>
    </x:row>
    <x:row r="63">
      <x:c r="A63" s="309" t="n">
        <x:v>74</x:v>
      </x:c>
      <x:c r="B63" s="312" t="str">
        <x:v>Shakuf — שקוף</x:v>
      </x:c>
      <x:c r="C63" s="313" t="str">
        <x:v>https://shakuf.co.il/</x:v>
      </x:c>
      <x:c r="D63" s="308" t="str">
        <x:v>Israel</x:v>
      </x:c>
      <x:c r="E63" s="404" t="str">
        <x:v>Medio Oriente</x:v>
      </x:c>
      <x:c r="F63" s="308" t="str">
        <x:v>Hebreo; páginas informativas en inglés y árabe</x:v>
      </x:c>
      <x:c r="G63" s="308" t="str">
        <x:v>Medio independiente / watchdog</x:v>
      </x:c>
      <x:c r="H63" s="308" t="str">
        <x:v>Periodismo de investigación, transparencia y fiscalización del poder</x:v>
      </x:c>
      <x:c r="I63" s="308" t="str">
        <x:v>Financiación directa del público; sin publicidad ni financiación gubernamental declarada</x:v>
      </x:c>
      <x:c r="J63" s="308" t="str">
        <x:v>Propiedad pública-comunitaria / independiente</x:v>
      </x:c>
      <x:c r="K63" s="308" t="str">
        <x:v>No partidista declarado; enfoque de transparencia</x:v>
      </x:c>
      <x:c r="L63" s="308" t="str">
        <x:v>Israelí / democracia, rendición de cuentas y anticorrupción</x:v>
      </x:c>
      <x:c r="M63" s="309" t="n">
        <x:v>4</x:v>
      </x:c>
      <x:c r="N63" s="309" t="n">
        <x:v>5</x:v>
      </x:c>
      <x:c r="O63" s="309" t="n">
        <x:v>5</x:v>
      </x:c>
      <x:c r="P63" s="309" t="n">
        <x:v>4</x:v>
      </x:c>
      <x:c r="Q63" s="309" t="n">
        <x:v>4</x:v>
      </x:c>
      <x:c r="R63" s="309" t="n">
        <x:v>5</x:v>
      </x:c>
      <x:c r="S63" s="311" t="n">
        <x:v>4.5</x:v>
      </x:c>
      <x:c r="T63" s="309" t="str">
        <x:v>Alta</x:v>
      </x:c>
      <x:c r="U63" s="308" t="str">
        <x:v>Investigación sobre corrupción, toma de decisiones, lobbies, medioambiente y economía en Israel</x:v>
      </x:c>
      <x:c r="V63" s="308" t="str">
        <x:v>Moderada</x:v>
      </x:c>
      <x:c r="W63" s="308" t="str">
        <x:v>Documentos originales, Kan, The Seventh Eye, Ha-Makom y otras fuentes israelíes</x:v>
      </x:c>
      <x:c r="X63" s="308" t="str">
        <x:v>Activo</x:v>
      </x:c>
      <x:c r="Y63" s="308" t="str">
        <x:v>Corregido el dominio. Shakuf declara estar financiado íntegramente por el público, sin anuncios, magnates, fundaciones ni financiación gubernamental; debe evaluarse como medio de investigación y watchdog, no como empresa comercial.</x:v>
      </x:c>
      <x:c r="Z63" s="308" t="str">
        <x:v>https://shakuf.co.il/english</x:v>
      </x:c>
      <x:c r="AA63" s="310" t="n">
        <x:v>46219</x:v>
      </x:c>
    </x:row>
    <x:row r="64">
      <x:c r="A64" s="309" t="n">
        <x:v>22</x:v>
      </x:c>
      <x:c r="B64" s="312" t="str">
        <x:v>Ha-Makom</x:v>
      </x:c>
      <x:c r="C64" s="313" t="str">
        <x:v>https://www.ha-makom.co.il/</x:v>
      </x:c>
      <x:c r="D64" s="308" t="str">
        <x:v>Israel</x:v>
      </x:c>
      <x:c r="E64" s="404" t="str">
        <x:v>Medio Oriente</x:v>
      </x:c>
      <x:c r="F64" s="308" t="str">
        <x:v>Hebreo</x:v>
      </x:c>
      <x:c r="G64" s="308" t="str">
        <x:v>Investigación / medio crítico</x:v>
      </x:c>
      <x:c r="H64" s="308" t="str">
        <x:v>Reportajes e investigación</x:v>
      </x:c>
      <x:c r="I64" s="308" t="str">
        <x:v>Independiente</x:v>
      </x:c>
      <x:c r="J64" s="308" t="str">
        <x:v>Independiente</x:v>
      </x:c>
      <x:c r="K64" s="308" t="str">
        <x:v>Izquierda crítica</x:v>
      </x:c>
      <x:c r="L64" s="308" t="str">
        <x:v>Israelí / derechos civiles</x:v>
      </x:c>
      <x:c r="M64" s="309" t="n">
        <x:v>4</x:v>
      </x:c>
      <x:c r="N64" s="309" t="n">
        <x:v>4</x:v>
      </x:c>
      <x:c r="O64" s="309" t="n">
        <x:v>3</x:v>
      </x:c>
      <x:c r="P64" s="309" t="n">
        <x:v>4</x:v>
      </x:c>
      <x:c r="Q64" s="309" t="n">
        <x:v>3</x:v>
      </x:c>
      <x:c r="R64" s="309" t="n">
        <x:v>4</x:v>
      </x:c>
      <x:c r="S64" s="311" t="n">
        <x:v>3.7</x:v>
      </x:c>
      <x:c r="T64" s="309" t="str">
        <x:v>Media-alta</x:v>
      </x:c>
      <x:c r="U64" s="308" t="str">
        <x:v>Investigación social y política israelí</x:v>
      </x:c>
      <x:c r="V64" s="308" t="str">
        <x:v>Moderada</x:v>
      </x:c>
      <x:c r="W64" s="308" t="str">
        <x:v>Documentos, medios nacionales y fuentes de signo distinto</x:v>
      </x:c>
      <x:c r="X64" s="308" t="str">
        <x:v>Activo</x:v>
      </x:c>
      <x:c r="Y64" s="308" t="str">
        <x:v>Reubicado fuera de la categoría mainstream.</x:v>
      </x:c>
      <x:c r="Z64" s="308" t="str">
        <x:v>https://www.ha-makom.co.il/</x:v>
      </x:c>
      <x:c r="AA64" s="310" t="n">
        <x:v>46219</x:v>
      </x:c>
    </x:row>
    <x:row r="65">
      <x:c r="A65" s="309" t="n">
        <x:v>37</x:v>
      </x:c>
      <x:c r="B65" s="312" t="str">
        <x:v>INSS</x:v>
      </x:c>
      <x:c r="C65" s="313" t="str">
        <x:v>https://www.inss.org.il/</x:v>
      </x:c>
      <x:c r="D65" s="308" t="str">
        <x:v>Israel</x:v>
      </x:c>
      <x:c r="E65" s="404" t="str">
        <x:v>Medio Oriente</x:v>
      </x:c>
      <x:c r="F65" s="308" t="str">
        <x:v>Hebreo/Inglés</x:v>
      </x:c>
      <x:c r="G65" s="308" t="str">
        <x:v>Think tank</x:v>
      </x:c>
      <x:c r="H65" s="308" t="str">
        <x:v>Seguridad nacional y estrategia</x:v>
      </x:c>
      <x:c r="I65" s="308" t="str">
        <x:v>Instituto sin fines de lucro</x:v>
      </x:c>
      <x:c r="J65" s="308" t="str">
        <x:v>ONG/think tank</x:v>
      </x:c>
      <x:c r="K65" s="308" t="str">
        <x:v>Establishment de seguridad; plural interno</x:v>
      </x:c>
      <x:c r="L65" s="308" t="str">
        <x:v>Israelí / seguridad nacional</x:v>
      </x:c>
      <x:c r="M65" s="309" t="n">
        <x:v>4</x:v>
      </x:c>
      <x:c r="N65" s="309" t="n">
        <x:v>4</x:v>
      </x:c>
      <x:c r="O65" s="309" t="n">
        <x:v>4</x:v>
      </x:c>
      <x:c r="P65" s="309" t="n">
        <x:v>4</x:v>
      </x:c>
      <x:c r="Q65" s="309" t="n">
        <x:v>3</x:v>
      </x:c>
      <x:c r="R65" s="309" t="n">
        <x:v>4</x:v>
      </x:c>
      <x:c r="S65" s="311" t="n">
        <x:v>3.8</x:v>
      </x:c>
      <x:c r="T65" s="309" t="str">
        <x:v>Media-alta</x:v>
      </x:c>
      <x:c r="U65" s="308" t="str">
        <x:v>Seguridad israelí y escenarios regionales</x:v>
      </x:c>
      <x:c r="V65" s="308" t="str">
        <x:v>Moderada-alta</x:v>
      </x:c>
      <x:c r="W65" s="308" t="str">
        <x:v>Think tanks árabes, IISS, RUSI y fuentes primarias</x:v>
      </x:c>
      <x:c r="X65" s="308" t="str">
        <x:v>Activo</x:v>
      </x:c>
      <x:c r="Y65" s="308"/>
      <x:c r="Z65" s="308" t="str">
        <x:v>https://www.inss.org.il/</x:v>
      </x:c>
      <x:c r="AA65" s="310" t="n">
        <x:v>46219</x:v>
      </x:c>
    </x:row>
    <x:row r="66">
      <x:c r="A66" s="309" t="n">
        <x:v>60</x:v>
      </x:c>
      <x:c r="B66" s="312" t="str">
        <x:v>U.S. CENTCOM</x:v>
      </x:c>
      <x:c r="C66" s="313" t="str">
        <x:v>https://www.centcom.mil/</x:v>
      </x:c>
      <x:c r="D66" s="308" t="str">
        <x:v>Estados Unidos; área de responsabilidad regional</x:v>
      </x:c>
      <x:c r="E66" s="404" t="str">
        <x:v>Medio Oriente/Asia Central</x:v>
      </x:c>
      <x:c r="F66" s="308" t="str">
        <x:v>Inglés</x:v>
      </x:c>
      <x:c r="G66" s="308" t="str">
        <x:v>Comando militar</x:v>
      </x:c>
      <x:c r="H66" s="308" t="str">
        <x:v>Comunicados y posición operativa oficial</x:v>
      </x:c>
      <x:c r="I66" s="308" t="str">
        <x:v>Gobierno de Estados Unidos</x:v>
      </x:c>
      <x:c r="J66" s="308" t="str">
        <x:v>Oficial / parte interesada</x:v>
      </x:c>
      <x:c r="K66" s="308" t="str">
        <x:v>Línea oficial militar</x:v>
      </x:c>
      <x:c r="L66" s="308" t="str">
        <x:v>Estadounidense / militar</x:v>
      </x:c>
      <x:c r="M66" s="309" t="n">
        <x:v>3</x:v>
      </x:c>
      <x:c r="N66" s="309" t="n">
        <x:v>1</x:v>
      </x:c>
      <x:c r="O66" s="309" t="n">
        <x:v>5</x:v>
      </x:c>
      <x:c r="P66" s="309" t="n">
        <x:v>3</x:v>
      </x:c>
      <x:c r="Q66" s="309" t="n">
        <x:v>3</x:v>
      </x:c>
      <x:c r="R66" s="309" t="n">
        <x:v>4</x:v>
      </x:c>
      <x:c r="S66" s="311" t="n">
        <x:v>3.2</x:v>
      </x:c>
      <x:c r="T66" s="309" t="str">
        <x:v>Media</x:v>
      </x:c>
      <x:c r="U66" s="308" t="str">
        <x:v>Declaraciones oficiales y cronología militar estadounidense</x:v>
      </x:c>
      <x:c r="V66" s="308" t="str">
        <x:v>Obligatoria</x:v>
      </x:c>
      <x:c r="W66" s="308" t="str">
        <x:v>Prensa independiente, imágenes, ONU y contraparte local</x:v>
      </x:c>
      <x:c r="X66" s="308" t="str">
        <x:v>Uso condicionado</x:v>
      </x:c>
      <x:c r="Y66" s="308" t="str">
        <x:v>Fuente primaria, no verificación independiente.</x:v>
      </x:c>
      <x:c r="Z66" s="308" t="str">
        <x:v>https://www.centcom.mil/</x:v>
      </x:c>
      <x:c r="AA66" s="310" t="n">
        <x:v>46219</x:v>
      </x:c>
    </x:row>
    <x:row r="67">
      <x:c r="A67" s="309" t="n">
        <x:v>18</x:v>
      </x:c>
      <x:c r="B67" s="312" t="str">
        <x:v>Al Jazeera English</x:v>
      </x:c>
      <x:c r="C67" s="313" t="str">
        <x:v>https://www.aljazeera.com/</x:v>
      </x:c>
      <x:c r="D67" s="308" t="str">
        <x:v>Qatar; alcance global</x:v>
      </x:c>
      <x:c r="E67" s="404" t="str">
        <x:v>Medio Oriente/Global</x:v>
      </x:c>
      <x:c r="F67" s="308" t="str">
        <x:v>Inglés</x:v>
      </x:c>
      <x:c r="G67" s="308" t="str">
        <x:v>Red internacional</x:v>
      </x:c>
      <x:c r="H67" s="308" t="str">
        <x:v>Noticias, documentales y análisis</x:v>
      </x:c>
      <x:c r="I67" s="308" t="str">
        <x:v>Financiación pública catarí</x:v>
      </x:c>
      <x:c r="J67" s="308" t="str">
        <x:v>Estatal/afiliado al Estado</x:v>
      </x:c>
      <x:c r="K67" s="308" t="str">
        <x:v>Progresista en temas globales</x:v>
      </x:c>
      <x:c r="L67" s="308" t="str">
        <x:v>Catarí / Global South</x:v>
      </x:c>
      <x:c r="M67" s="309" t="n">
        <x:v>4</x:v>
      </x:c>
      <x:c r="N67" s="309" t="n">
        <x:v>2</x:v>
      </x:c>
      <x:c r="O67" s="309" t="n">
        <x:v>4</x:v>
      </x:c>
      <x:c r="P67" s="309" t="n">
        <x:v>4</x:v>
      </x:c>
      <x:c r="Q67" s="309" t="n">
        <x:v>4</x:v>
      </x:c>
      <x:c r="R67" s="309" t="n">
        <x:v>4</x:v>
      </x:c>
      <x:c r="S67" s="311" t="n">
        <x:v>3.7</x:v>
      </x:c>
      <x:c r="T67" s="309" t="str">
        <x:v>Media-alta</x:v>
      </x:c>
      <x:c r="U67" s="308" t="str">
        <x:v>Perspectiva regional y Global South</x:v>
      </x:c>
      <x:c r="V67" s="308" t="str">
        <x:v>Alta en asuntos sensibles para Qatar</x:v>
      </x:c>
      <x:c r="W67" s="308" t="str">
        <x:v>Reuters/AP y medios regionales con líneas distintas</x:v>
      </x:c>
      <x:c r="X67" s="308" t="str">
        <x:v>Uso condicionado</x:v>
      </x:c>
      <x:c r="Y67" s="308" t="str">
        <x:v>No equiparar automáticamente la edición inglesa con la árabe.</x:v>
      </x:c>
      <x:c r="Z67" s="308" t="str">
        <x:v>https://www.aljazeera.com/about-us</x:v>
      </x:c>
      <x:c r="AA67" s="310" t="n">
        <x:v>46219</x:v>
      </x:c>
    </x:row>
    <x:row r="68">
      <x:c r="A68" s="309" t="n">
        <x:v>73</x:v>
      </x:c>
      <x:c r="B68" s="312" t="str">
        <x:v>Press Gazette</x:v>
      </x:c>
      <x:c r="C68" s="313" t="str">
        <x:v>https://pressgazette.co.uk/</x:v>
      </x:c>
      <x:c r="D68" s="308" t="str">
        <x:v>Reino Unido</x:v>
      </x:c>
      <x:c r="E68" s="404" t="str">
        <x:v>Occidente</x:v>
      </x:c>
      <x:c r="F68" s="308" t="str">
        <x:v>Inglés</x:v>
      </x:c>
      <x:c r="G68" s="308" t="str">
        <x:v>Publicación profesional</x:v>
      </x:c>
      <x:c r="H68" s="308" t="str">
        <x:v>Industria periodística y medios</x:v>
      </x:c>
      <x:c r="I68" s="308" t="str">
        <x:v>Privado comercial</x:v>
      </x:c>
      <x:c r="J68" s="308" t="str">
        <x:v>Privado</x:v>
      </x:c>
      <x:c r="K68" s="308" t="str">
        <x:v>Sectorial</x:v>
      </x:c>
      <x:c r="L68" s="308" t="str">
        <x:v>Industria mediática británica</x:v>
      </x:c>
      <x:c r="M68" s="309" t="n">
        <x:v>4</x:v>
      </x:c>
      <x:c r="N68" s="309" t="n">
        <x:v>4</x:v>
      </x:c>
      <x:c r="O68" s="309" t="n">
        <x:v>4</x:v>
      </x:c>
      <x:c r="P68" s="309" t="n">
        <x:v>4</x:v>
      </x:c>
      <x:c r="Q68" s="309" t="n">
        <x:v>4</x:v>
      </x:c>
      <x:c r="R68" s="309" t="n">
        <x:v>5</x:v>
      </x:c>
      <x:c r="S68" s="311" t="n">
        <x:v>4.2</x:v>
      </x:c>
      <x:c r="T68" s="309" t="str">
        <x:v>Media-alta</x:v>
      </x:c>
      <x:c r="U68" s="308" t="str">
        <x:v>Propiedad de medios, tendencias y libertad de prensa</x:v>
      </x:c>
      <x:c r="V68" s="308" t="str">
        <x:v>Moderada</x:v>
      </x:c>
      <x:c r="W68" s="308" t="str">
        <x:v>Documentos corporativos y reguladores</x:v>
      </x:c>
      <x:c r="X68" s="308" t="str">
        <x:v>Secundario</x:v>
      </x:c>
      <x:c r="Y68" s="308" t="str">
        <x:v>No es fuente directa para hechos geopolíticos.</x:v>
      </x:c>
      <x:c r="Z68" s="308" t="str">
        <x:v>https://pressgazette.co.uk/</x:v>
      </x:c>
      <x:c r="AA68" s="310" t="n">
        <x:v>46219</x:v>
      </x:c>
    </x:row>
    <x:row r="69">
      <x:c r="A69" s="309" t="n">
        <x:v>6</x:v>
      </x:c>
      <x:c r="B69" s="312" t="str">
        <x:v>NBC News</x:v>
      </x:c>
      <x:c r="C69" s="313" t="str">
        <x:v>https://www.nbcnews.com/</x:v>
      </x:c>
      <x:c r="D69" s="308" t="str">
        <x:v>Estados Unidos</x:v>
      </x:c>
      <x:c r="E69" s="404" t="str">
        <x:v>Occidente</x:v>
      </x:c>
      <x:c r="F69" s="308" t="str">
        <x:v>Inglés</x:v>
      </x:c>
      <x:c r="G69" s="308" t="str">
        <x:v>Televisión y medio digital</x:v>
      </x:c>
      <x:c r="H69" s="308" t="str">
        <x:v>Noticias generales</x:v>
      </x:c>
      <x:c r="I69" s="308" t="str">
        <x:v>Privado comercial</x:v>
      </x:c>
      <x:c r="J69" s="308" t="str">
        <x:v>Privado</x:v>
      </x:c>
      <x:c r="K69" s="308" t="str">
        <x:v>Centro-izquierda</x:v>
      </x:c>
      <x:c r="L69" s="308" t="str">
        <x:v>Estadounidense</x:v>
      </x:c>
      <x:c r="M69" s="309" t="n">
        <x:v>4</x:v>
      </x:c>
      <x:c r="N69" s="309" t="n">
        <x:v>4</x:v>
      </x:c>
      <x:c r="O69" s="309" t="n">
        <x:v>4</x:v>
      </x:c>
      <x:c r="P69" s="309" t="n">
        <x:v>4</x:v>
      </x:c>
      <x:c r="Q69" s="309" t="n">
        <x:v>4</x:v>
      </x:c>
      <x:c r="R69" s="309" t="n">
        <x:v>4</x:v>
      </x:c>
      <x:c r="S69" s="311" t="n">
        <x:v>4</x:v>
      </x:c>
      <x:c r="T69" s="309" t="str">
        <x:v>Media-alta</x:v>
      </x:c>
      <x:c r="U69" s="308" t="str">
        <x:v>Política y sociedad de Estados Unidos</x:v>
      </x:c>
      <x:c r="V69" s="308" t="str">
        <x:v>Moderada</x:v>
      </x:c>
      <x:c r="W69" s="308" t="str">
        <x:v>AP, Reuters y documentos oficiales</x:v>
      </x:c>
      <x:c r="X69" s="308" t="str">
        <x:v>Activo</x:v>
      </x:c>
      <x:c r="Y69" s="308"/>
      <x:c r="Z69" s="308" t="str">
        <x:v>https://www.nbcnews.com/</x:v>
      </x:c>
      <x:c r="AA69" s="310" t="n">
        <x:v>46219</x:v>
      </x:c>
    </x:row>
    <x:row r="70">
      <x:c r="A70" s="309" t="n">
        <x:v>5</x:v>
      </x:c>
      <x:c r="B70" s="312" t="str">
        <x:v>La Vanguardia</x:v>
      </x:c>
      <x:c r="C70" s="313" t="str">
        <x:v>https://www.lavanguardia.com/</x:v>
      </x:c>
      <x:c r="D70" s="308" t="str">
        <x:v>España</x:v>
      </x:c>
      <x:c r="E70" s="404" t="str">
        <x:v>Occidente</x:v>
      </x:c>
      <x:c r="F70" s="308" t="str">
        <x:v>Español</x:v>
      </x:c>
      <x:c r="G70" s="308" t="str">
        <x:v>Medio generalista</x:v>
      </x:c>
      <x:c r="H70" s="308" t="str">
        <x:v>Noticias y análisis</x:v>
      </x:c>
      <x:c r="I70" s="308" t="str">
        <x:v>Privado comercial</x:v>
      </x:c>
      <x:c r="J70" s="308" t="str">
        <x:v>Privado</x:v>
      </x:c>
      <x:c r="K70" s="308" t="str">
        <x:v>Centro liberal</x:v>
      </x:c>
      <x:c r="L70" s="308" t="str">
        <x:v>España / Europa</x:v>
      </x:c>
      <x:c r="M70" s="309" t="n">
        <x:v>4</x:v>
      </x:c>
      <x:c r="N70" s="309" t="n">
        <x:v>4</x:v>
      </x:c>
      <x:c r="O70" s="309" t="n">
        <x:v>4</x:v>
      </x:c>
      <x:c r="P70" s="309" t="n">
        <x:v>4</x:v>
      </x:c>
      <x:c r="Q70" s="309" t="n">
        <x:v>4</x:v>
      </x:c>
      <x:c r="R70" s="309" t="n">
        <x:v>4</x:v>
      </x:c>
      <x:c r="S70" s="311" t="n">
        <x:v>4</x:v>
      </x:c>
      <x:c r="T70" s="309" t="str">
        <x:v>Media-alta</x:v>
      </x:c>
      <x:c r="U70" s="308" t="str">
        <x:v>España, Europa y contexto internacional</x:v>
      </x:c>
      <x:c r="V70" s="308" t="str">
        <x:v>Moderada</x:v>
      </x:c>
      <x:c r="W70" s="308" t="str">
        <x:v>Agencias y prensa internacional</x:v>
      </x:c>
      <x:c r="X70" s="308" t="str">
        <x:v>Activo</x:v>
      </x:c>
      <x:c r="Y70" s="308"/>
      <x:c r="Z70" s="308" t="str">
        <x:v>https://www.lavanguardia.com/</x:v>
      </x:c>
      <x:c r="AA70" s="310" t="n">
        <x:v>46219</x:v>
      </x:c>
    </x:row>
    <x:row r="71">
      <x:c r="A71" s="309" t="n">
        <x:v>1</x:v>
      </x:c>
      <x:c r="B71" s="312" t="str">
        <x:v>Axios</x:v>
      </x:c>
      <x:c r="C71" s="313" t="str">
        <x:v>https://www.axios.com/</x:v>
      </x:c>
      <x:c r="D71" s="308" t="str">
        <x:v>Estados Unidos</x:v>
      </x:c>
      <x:c r="E71" s="404" t="str">
        <x:v>Occidente</x:v>
      </x:c>
      <x:c r="F71" s="308" t="str">
        <x:v>Inglés</x:v>
      </x:c>
      <x:c r="G71" s="308" t="str">
        <x:v>Medio generalista</x:v>
      </x:c>
      <x:c r="H71" s="308" t="str">
        <x:v>Noticias y explicación breve</x:v>
      </x:c>
      <x:c r="I71" s="308" t="str">
        <x:v>Privado comercial</x:v>
      </x:c>
      <x:c r="J71" s="308" t="str">
        <x:v>Privado</x:v>
      </x:c>
      <x:c r="K71" s="308" t="str">
        <x:v>Centro</x:v>
      </x:c>
      <x:c r="L71" s="308" t="str">
        <x:v>Estadounidense / política pública</x:v>
      </x:c>
      <x:c r="M71" s="309" t="n">
        <x:v>4</x:v>
      </x:c>
      <x:c r="N71" s="309" t="n">
        <x:v>4</x:v>
      </x:c>
      <x:c r="O71" s="309" t="n">
        <x:v>4</x:v>
      </x:c>
      <x:c r="P71" s="309" t="n">
        <x:v>4</x:v>
      </x:c>
      <x:c r="Q71" s="309" t="n">
        <x:v>4</x:v>
      </x:c>
      <x:c r="R71" s="309" t="n">
        <x:v>4</x:v>
      </x:c>
      <x:c r="S71" s="311" t="n">
        <x:v>4</x:v>
      </x:c>
      <x:c r="T71" s="309" t="str">
        <x:v>Media-alta</x:v>
      </x:c>
      <x:c r="U71" s="308" t="str">
        <x:v>Seguimiento rápido de política estadounidense</x:v>
      </x:c>
      <x:c r="V71" s="308" t="str">
        <x:v>Moderada</x:v>
      </x:c>
      <x:c r="W71" s="308" t="str">
        <x:v>Reuters, AP y documentos oficiales</x:v>
      </x:c>
      <x:c r="X71" s="308" t="str">
        <x:v>Activo</x:v>
      </x:c>
      <x:c r="Y71" s="308" t="str">
        <x:v>Útil para velocidad y síntesis; verificar primicias de alto impacto.</x:v>
      </x:c>
      <x:c r="Z71" s="308" t="str">
        <x:v>https://www.axios.com/</x:v>
      </x:c>
      <x:c r="AA71" s="310" t="n">
        <x:v>46219</x:v>
      </x:c>
    </x:row>
    <x:row r="72">
      <x:c r="A72" s="309" t="n">
        <x:v>7</x:v>
      </x:c>
      <x:c r="B72" s="312" t="str">
        <x:v>Politico</x:v>
      </x:c>
      <x:c r="C72" s="313" t="str">
        <x:v>https://www.politico.com/</x:v>
      </x:c>
      <x:c r="D72" s="308" t="str">
        <x:v>Estados Unidos / Europa</x:v>
      </x:c>
      <x:c r="E72" s="404" t="str">
        <x:v>Occidente</x:v>
      </x:c>
      <x:c r="F72" s="308" t="str">
        <x:v>Inglés</x:v>
      </x:c>
      <x:c r="G72" s="308" t="str">
        <x:v>Medio especializado</x:v>
      </x:c>
      <x:c r="H72" s="308" t="str">
        <x:v>Política pública y poder institucional</x:v>
      </x:c>
      <x:c r="I72" s="308" t="str">
        <x:v>Privado comercial</x:v>
      </x:c>
      <x:c r="J72" s="308" t="str">
        <x:v>Privado</x:v>
      </x:c>
      <x:c r="K72" s="308" t="str">
        <x:v>Centro</x:v>
      </x:c>
      <x:c r="L72" s="308" t="str">
        <x:v>Transatlántica / institucional</x:v>
      </x:c>
      <x:c r="M72" s="309" t="n">
        <x:v>4</x:v>
      </x:c>
      <x:c r="N72" s="309" t="n">
        <x:v>4</x:v>
      </x:c>
      <x:c r="O72" s="309" t="n">
        <x:v>4</x:v>
      </x:c>
      <x:c r="P72" s="309" t="n">
        <x:v>4</x:v>
      </x:c>
      <x:c r="Q72" s="309" t="n">
        <x:v>4</x:v>
      </x:c>
      <x:c r="R72" s="309" t="n">
        <x:v>4</x:v>
      </x:c>
      <x:c r="S72" s="311" t="n">
        <x:v>4</x:v>
      </x:c>
      <x:c r="T72" s="309" t="str">
        <x:v>Media-alta</x:v>
      </x:c>
      <x:c r="U72" s="308" t="str">
        <x:v>Política de EE. UU. y Unión Europea</x:v>
      </x:c>
      <x:c r="V72" s="308" t="str">
        <x:v>Moderada</x:v>
      </x:c>
      <x:c r="W72" s="308" t="str">
        <x:v>Documentos oficiales y agencias</x:v>
      </x:c>
      <x:c r="X72" s="308" t="str">
        <x:v>Activo</x:v>
      </x:c>
      <x:c r="Y72" s="308"/>
      <x:c r="Z72" s="308" t="str">
        <x:v>https://www.politico.com/</x:v>
      </x:c>
      <x:c r="AA72" s="310" t="n">
        <x:v>46219</x:v>
      </x:c>
    </x:row>
    <x:row r="73">
      <x:c r="A73" s="309" t="n">
        <x:v>3</x:v>
      </x:c>
      <x:c r="B73" s="312" t="str">
        <x:v>El País</x:v>
      </x:c>
      <x:c r="C73" s="313" t="str">
        <x:v>https://elpais.com/</x:v>
      </x:c>
      <x:c r="D73" s="308" t="str">
        <x:v>España</x:v>
      </x:c>
      <x:c r="E73" s="404" t="str">
        <x:v>Occidente/América Latina</x:v>
      </x:c>
      <x:c r="F73" s="308" t="str">
        <x:v>Español</x:v>
      </x:c>
      <x:c r="G73" s="308" t="str">
        <x:v>Medio generalista</x:v>
      </x:c>
      <x:c r="H73" s="308" t="str">
        <x:v>Noticias, análisis y opinión</x:v>
      </x:c>
      <x:c r="I73" s="308" t="str">
        <x:v>Privado comercial</x:v>
      </x:c>
      <x:c r="J73" s="308" t="str">
        <x:v>Privado</x:v>
      </x:c>
      <x:c r="K73" s="308" t="str">
        <x:v>Centro-izquierda liberal</x:v>
      </x:c>
      <x:c r="L73" s="308" t="str">
        <x:v>Europeísta / iberoamericana</x:v>
      </x:c>
      <x:c r="M73" s="309" t="n">
        <x:v>4</x:v>
      </x:c>
      <x:c r="N73" s="309" t="n">
        <x:v>4</x:v>
      </x:c>
      <x:c r="O73" s="309" t="n">
        <x:v>4</x:v>
      </x:c>
      <x:c r="P73" s="309" t="n">
        <x:v>4</x:v>
      </x:c>
      <x:c r="Q73" s="309" t="n">
        <x:v>4</x:v>
      </x:c>
      <x:c r="R73" s="309" t="n">
        <x:v>4</x:v>
      </x:c>
      <x:c r="S73" s="311" t="n">
        <x:v>4</x:v>
      </x:c>
      <x:c r="T73" s="309" t="str">
        <x:v>Media-alta</x:v>
      </x:c>
      <x:c r="U73" s="308" t="str">
        <x:v>Cobertura europea y latinoamericana</x:v>
      </x:c>
      <x:c r="V73" s="308" t="str">
        <x:v>Moderada</x:v>
      </x:c>
      <x:c r="W73" s="308" t="str">
        <x:v>Agencias y medios locales</x:v>
      </x:c>
      <x:c r="X73" s="308" t="str">
        <x:v>Activo</x:v>
      </x:c>
      <x:c r="Y73" s="308"/>
      <x:c r="Z73" s="308" t="str">
        <x:v>https://elpais.com/</x:v>
      </x:c>
      <x:c r="AA73" s="310" t="n">
        <x:v>46219</x:v>
      </x:c>
    </x:row>
    <x:row r="74">
      <x:c r="A74" s="309" t="n">
        <x:v>71</x:v>
      </x:c>
      <x:c r="B74" s="312" t="str">
        <x:v>Novaya Gazeta Europe</x:v>
      </x:c>
      <x:c r="C74" s="313" t="str">
        <x:v>https://novayagazeta.eu/</x:v>
      </x:c>
      <x:c r="D74" s="308" t="str">
        <x:v>Exilio europeo; foco en Rusia</x:v>
      </x:c>
      <x:c r="E74" s="404" t="str">
        <x:v>Rusia/Europa Oriental</x:v>
      </x:c>
      <x:c r="F74" s="308" t="str">
        <x:v>Ruso/Inglés</x:v>
      </x:c>
      <x:c r="G74" s="308" t="str">
        <x:v>Medio independiente en exilio</x:v>
      </x:c>
      <x:c r="H74" s="308" t="str">
        <x:v>Investigación y noticias</x:v>
      </x:c>
      <x:c r="I74" s="308" t="str">
        <x:v>Independiente</x:v>
      </x:c>
      <x:c r="J74" s="308" t="str">
        <x:v>Independiente</x:v>
      </x:c>
      <x:c r="K74" s="308" t="str">
        <x:v>Liberal / derechos humanos</x:v>
      </x:c>
      <x:c r="L74" s="308" t="str">
        <x:v>Rusa independiente</x:v>
      </x:c>
      <x:c r="M74" s="309" t="n">
        <x:v>4</x:v>
      </x:c>
      <x:c r="N74" s="309" t="n">
        <x:v>4</x:v>
      </x:c>
      <x:c r="O74" s="309" t="n">
        <x:v>4</x:v>
      </x:c>
      <x:c r="P74" s="309" t="n">
        <x:v>4</x:v>
      </x:c>
      <x:c r="Q74" s="309" t="n">
        <x:v>4</x:v>
      </x:c>
      <x:c r="R74" s="309" t="n">
        <x:v>4</x:v>
      </x:c>
      <x:c r="S74" s="311" t="n">
        <x:v>4</x:v>
      </x:c>
      <x:c r="T74" s="309" t="str">
        <x:v>Media-alta</x:v>
      </x:c>
      <x:c r="U74" s="308" t="str">
        <x:v>Investigación sobre Rusia y derechos humanos</x:v>
      </x:c>
      <x:c r="V74" s="308" t="str">
        <x:v>Moderada-alta</x:v>
      </x:c>
      <x:c r="W74" s="308" t="str">
        <x:v>Reuters, Meduza y documentos primarios</x:v>
      </x:c>
      <x:c r="X74" s="308" t="str">
        <x:v>Nuevo recomendado</x:v>
      </x:c>
      <x:c r="Y74" s="308"/>
      <x:c r="Z74" s="308" t="str">
        <x:v>https://novayagazeta.eu/</x:v>
      </x:c>
      <x:c r="AA74" s="310" t="n">
        <x:v>46219</x:v>
      </x:c>
    </x:row>
    <x:row r="75">
      <x:c r="A75" s="309" t="n">
        <x:v>70</x:v>
      </x:c>
      <x:c r="B75" s="312" t="str">
        <x:v>Meduza</x:v>
      </x:c>
      <x:c r="C75" s="313" t="str">
        <x:v>https://meduza.io/en</x:v>
      </x:c>
      <x:c r="D75" s="308" t="str">
        <x:v>Exilio; foco en Rusia</x:v>
      </x:c>
      <x:c r="E75" s="404" t="str">
        <x:v>Rusia/Europa Oriental</x:v>
      </x:c>
      <x:c r="F75" s="308" t="str">
        <x:v>Ruso/Inglés</x:v>
      </x:c>
      <x:c r="G75" s="308" t="str">
        <x:v>Medio independiente en exilio</x:v>
      </x:c>
      <x:c r="H75" s="308" t="str">
        <x:v>Noticias e investigación</x:v>
      </x:c>
      <x:c r="I75" s="308" t="str">
        <x:v>Independiente / donaciones</x:v>
      </x:c>
      <x:c r="J75" s="308" t="str">
        <x:v>Independiente</x:v>
      </x:c>
      <x:c r="K75" s="308" t="str">
        <x:v>Liberal / crítica del Kremlin</x:v>
      </x:c>
      <x:c r="L75" s="308" t="str">
        <x:v>Rusa independiente</x:v>
      </x:c>
      <x:c r="M75" s="309" t="n">
        <x:v>4</x:v>
      </x:c>
      <x:c r="N75" s="309" t="n">
        <x:v>4</x:v>
      </x:c>
      <x:c r="O75" s="309" t="n">
        <x:v>4</x:v>
      </x:c>
      <x:c r="P75" s="309" t="n">
        <x:v>4</x:v>
      </x:c>
      <x:c r="Q75" s="309" t="n">
        <x:v>4</x:v>
      </x:c>
      <x:c r="R75" s="309" t="n">
        <x:v>4</x:v>
      </x:c>
      <x:c r="S75" s="311" t="n">
        <x:v>4</x:v>
      </x:c>
      <x:c r="T75" s="309" t="str">
        <x:v>Media-alta</x:v>
      </x:c>
      <x:c r="U75" s="308" t="str">
        <x:v>Rusia, sociedad y política interna</x:v>
      </x:c>
      <x:c r="V75" s="308" t="str">
        <x:v>Moderada-alta</x:v>
      </x:c>
      <x:c r="W75" s="308" t="str">
        <x:v>Reuters, Novaya Gazeta Europe y documentos</x:v>
      </x:c>
      <x:c r="X75" s="308" t="str">
        <x:v>Nuevo recomendado</x:v>
      </x:c>
      <x:c r="Y75" s="308"/>
      <x:c r="Z75" s="308" t="str">
        <x:v>https://meduza.io/en</x:v>
      </x:c>
      <x:c r="AA75" s="310" t="n">
        <x:v>46219</x:v>
      </x:c>
    </x:row>
    <x:row r="76">
      <x:c r="A76" s="309" t="n">
        <x:v>45</x:v>
      </x:c>
      <x:c r="B76" s="312" t="str">
        <x:v>TASS</x:v>
      </x:c>
      <x:c r="C76" s="313" t="str">
        <x:v>https://tass.com/</x:v>
      </x:c>
      <x:c r="D76" s="308" t="str">
        <x:v>Rusia; alcance internacional</x:v>
      </x:c>
      <x:c r="E76" s="404" t="str">
        <x:v>Rusia/Global</x:v>
      </x:c>
      <x:c r="F76" s="308" t="str">
        <x:v>Ruso/Inglés</x:v>
      </x:c>
      <x:c r="G76" s="308" t="str">
        <x:v>Agencia estatal</x:v>
      </x:c>
      <x:c r="H76" s="308" t="str">
        <x:v>Noticias y narrativa oficial</x:v>
      </x:c>
      <x:c r="I76" s="308" t="str">
        <x:v>Financiación estatal rusa</x:v>
      </x:c>
      <x:c r="J76" s="308" t="str">
        <x:v>Estatal</x:v>
      </x:c>
      <x:c r="K76" s="308" t="str">
        <x:v>Línea oficial</x:v>
      </x:c>
      <x:c r="L76" s="308" t="str">
        <x:v>Rusia estatal</x:v>
      </x:c>
      <x:c r="M76" s="309" t="n">
        <x:v>2</x:v>
      </x:c>
      <x:c r="N76" s="309" t="n">
        <x:v>1</x:v>
      </x:c>
      <x:c r="O76" s="309" t="n">
        <x:v>4</x:v>
      </x:c>
      <x:c r="P76" s="309" t="n">
        <x:v>2</x:v>
      </x:c>
      <x:c r="Q76" s="309" t="n">
        <x:v>1</x:v>
      </x:c>
      <x:c r="R76" s="309" t="n">
        <x:v>2</x:v>
      </x:c>
      <x:c r="S76" s="311" t="n">
        <x:v>2</x:v>
      </x:c>
      <x:c r="T76" s="309" t="str">
        <x:v>Baja</x:v>
      </x:c>
      <x:c r="U76" s="308" t="str">
        <x:v>Conocer declaraciones y narrativa oficial rusa</x:v>
      </x:c>
      <x:c r="V76" s="308" t="str">
        <x:v>Obligatoria</x:v>
      </x:c>
      <x:c r="W76" s="308" t="str">
        <x:v>Reuters/AP, medios rusos independientes y evidencia primaria</x:v>
      </x:c>
      <x:c r="X76" s="308" t="str">
        <x:v>Uso condicionado</x:v>
      </x:c>
      <x:c r="Y76" s="308"/>
      <x:c r="Z76" s="308" t="str">
        <x:v>https://tass.com/</x:v>
      </x:c>
      <x:c r="AA76" s="310" t="n">
        <x:v>46219</x:v>
      </x:c>
    </x:row>
    <x:row r="77">
      <x:c r="A77" s="309" t="n">
        <x:v>76</x:v>
      </x:c>
      <x:c r="B77" s="312" t="str">
        <x:v>Africa Confidential</x:v>
      </x:c>
      <x:c r="C77" s="313" t="str">
        <x:v>https://www.africa-confidential.com/</x:v>
      </x:c>
      <x:c r="D77" s="308" t="str">
        <x:v>Reino Unido; cobertura especializada de todo el continente</x:v>
      </x:c>
      <x:c r="E77" s="404" t="str">
        <x:v>África - Pancontinental</x:v>
      </x:c>
      <x:c r="F77" s="308" t="str">
        <x:v>Inglés</x:v>
      </x:c>
      <x:c r="G77" s="308" t="str">
        <x:v>Boletín especializado</x:v>
      </x:c>
      <x:c r="H77" s="308" t="str">
        <x:v>Análisis político, económico y de seguridad; información de fuentes internas</x:v>
      </x:c>
      <x:c r="I77" s="308" t="str">
        <x:v>Suscripción comercial</x:v>
      </x:c>
      <x:c r="J77" s="308" t="str">
        <x:v>Privado</x:v>
      </x:c>
      <x:c r="K77" s="308" t="str">
        <x:v>Pragmático / élites y poder</x:v>
      </x:c>
      <x:c r="L77" s="308" t="str">
        <x:v>Pan-africana desde una publicación especializada británica</x:v>
      </x:c>
      <x:c r="M77" s="309" t="n">
        <x:v>4</x:v>
      </x:c>
      <x:c r="N77" s="309" t="n">
        <x:v>4</x:v>
      </x:c>
      <x:c r="O77" s="309" t="n">
        <x:v>4</x:v>
      </x:c>
      <x:c r="P77" s="309" t="n">
        <x:v>4</x:v>
      </x:c>
      <x:c r="Q77" s="309" t="n">
        <x:v>3</x:v>
      </x:c>
      <x:c r="R77" s="309" t="n">
        <x:v>4</x:v>
      </x:c>
      <x:c r="S77" s="311" t="n">
        <x:v>3.8</x:v>
      </x:c>
      <x:c r="T77" s="309" t="str">
        <x:v>Media-alta</x:v>
      </x:c>
      <x:c r="U77" s="308" t="str">
        <x:v>Análisis de élites, redes de poder y señales tempranas</x:v>
      </x:c>
      <x:c r="V77" s="308" t="str">
        <x:v>Alta para afirmaciones basadas en fuentes anónimas</x:v>
      </x:c>
      <x:c r="W77" s="308" t="str">
        <x:v>Documentos, prensa local, agencias y fuentes con posiciones contrapuestas</x:v>
      </x:c>
      <x:c r="X77" s="308" t="str">
        <x:v>Nuevo recomendado</x:v>
      </x:c>
      <x:c r="Y77" s="308" t="str">
        <x:v>Muy útil para hipótesis y contexto; las exclusivas de fuentes internas requieren confirmación adicional.</x:v>
      </x:c>
      <x:c r="Z77" s="308" t="str">
        <x:v>https://www.africa-confidential.com/about-africa-confidential</x:v>
      </x:c>
      <x:c r="AA77" s="310" t="n">
        <x:v>46219</x:v>
      </x:c>
    </x:row>
    <x:row r="78">
      <x:c r="A78" s="309" t="n">
        <x:v>75</x:v>
      </x:c>
      <x:c r="B78" s="312" t="str">
        <x:v>African Arguments</x:v>
      </x:c>
      <x:c r="C78" s="313" t="str">
        <x:v>https://africanarguments.org/</x:v>
      </x:c>
      <x:c r="D78" s="308" t="str">
        <x:v>Plataforma pan-africana alojada por Royal African Society e International Africa Institute</x:v>
      </x:c>
      <x:c r="E78" s="404" t="str">
        <x:v>África - Pancontinental</x:v>
      </x:c>
      <x:c r="F78" s="308" t="str">
        <x:v>Inglés</x:v>
      </x:c>
      <x:c r="G78" s="308" t="str">
        <x:v>Plataforma de análisis</x:v>
      </x:c>
      <x:c r="H78" s="308" t="str">
        <x:v>Análisis, reportajes, investigaciones y debate</x:v>
      </x:c>
      <x:c r="I78" s="308" t="str">
        <x:v>Organización sin fines de lucro; financiación filantrópica declarada</x:v>
      </x:c>
      <x:c r="J78" s="308" t="str">
        <x:v>ONG / editorialmente independiente</x:v>
      </x:c>
      <x:c r="K78" s="308" t="str">
        <x:v>Plural; énfasis en voces africanas</x:v>
      </x:c>
      <x:c r="L78" s="308" t="str">
        <x:v>Pan-africana / académica y periodística</x:v>
      </x:c>
      <x:c r="M78" s="309" t="n">
        <x:v>4</x:v>
      </x:c>
      <x:c r="N78" s="309" t="n">
        <x:v>4</x:v>
      </x:c>
      <x:c r="O78" s="309" t="n">
        <x:v>5</x:v>
      </x:c>
      <x:c r="P78" s="309" t="n">
        <x:v>4</x:v>
      </x:c>
      <x:c r="Q78" s="309" t="n">
        <x:v>4</x:v>
      </x:c>
      <x:c r="R78" s="309" t="n">
        <x:v>4</x:v>
      </x:c>
      <x:c r="S78" s="311" t="n">
        <x:v>4.2</x:v>
      </x:c>
      <x:c r="T78" s="309" t="str">
        <x:v>Media-alta</x:v>
      </x:c>
      <x:c r="U78" s="308" t="str">
        <x:v>Análisis profundo, debates y perspectivas africanas</x:v>
      </x:c>
      <x:c r="V78" s="308" t="str">
        <x:v>Moderada</x:v>
      </x:c>
      <x:c r="W78" s="308" t="str">
        <x:v>Datos primarios, prensa local y autores con enfoques distintos</x:v>
      </x:c>
      <x:c r="X78" s="308" t="str">
        <x:v>Nuevo recomendado</x:v>
      </x:c>
      <x:c r="Y78" s="308" t="str">
        <x:v>Prioriza autores africanos y declara independencia editorial respecto de las instituciones anfitrionas.</x:v>
      </x:c>
      <x:c r="Z78" s="308" t="str">
        <x:v>https://africanarguments.org/about-us-2026/</x:v>
      </x:c>
      <x:c r="AA78" s="310" t="n">
        <x:v>46219</x:v>
      </x:c>
    </x:row>
    <x:row r="79">
      <x:c r="A79" s="309" t="n">
        <x:v>78</x:v>
      </x:c>
      <x:c r="B79" s="312" t="str">
        <x:v>Afrobarometer</x:v>
      </x:c>
      <x:c r="C79" s="313" t="str">
        <x:v>https://www.afrobarometer.org/</x:v>
      </x:c>
      <x:c r="D79" s="308" t="str">
        <x:v>Red pan-africana; sede institucional en Accra</x:v>
      </x:c>
      <x:c r="E79" s="404" t="str">
        <x:v>África - Pancontinental</x:v>
      </x:c>
      <x:c r="F79" s="308" t="str">
        <x:v>Inglés/Francés/Portugués y lenguas nacionales</x:v>
      </x:c>
      <x:c r="G79" s="308" t="str">
        <x:v>Red de investigación</x:v>
      </x:c>
      <x:c r="H79" s="308" t="str">
        <x:v>Encuestas de opinión pública y datos comparativos</x:v>
      </x:c>
      <x:c r="I79" s="308" t="str">
        <x:v>Red independiente de investigación con financiación institucional</x:v>
      </x:c>
      <x:c r="J79" s="308" t="str">
        <x:v>Investigación no partidista</x:v>
      </x:c>
      <x:c r="K79" s="308" t="str">
        <x:v>No partidista</x:v>
      </x:c>
      <x:c r="L79" s="308" t="str">
        <x:v>Voz ciudadana pan-africana</x:v>
      </x:c>
      <x:c r="M79" s="309" t="n">
        <x:v>5</x:v>
      </x:c>
      <x:c r="N79" s="309" t="n">
        <x:v>5</x:v>
      </x:c>
      <x:c r="O79" s="309" t="n">
        <x:v>5</x:v>
      </x:c>
      <x:c r="P79" s="309" t="n">
        <x:v>5</x:v>
      </x:c>
      <x:c r="Q79" s="309" t="n">
        <x:v>4</x:v>
      </x:c>
      <x:c r="R79" s="309" t="n">
        <x:v>5</x:v>
      </x:c>
      <x:c r="S79" s="311" t="n">
        <x:v>4.8</x:v>
      </x:c>
      <x:c r="T79" s="309" t="str">
        <x:v>Alta</x:v>
      </x:c>
      <x:c r="U79" s="308" t="str">
        <x:v>Opinión pública, democracia, gobernanza, economía y sociedad</x:v>
      </x:c>
      <x:c r="V79" s="308" t="str">
        <x:v>Baja a moderada</x:v>
      </x:c>
      <x:c r="W79" s="308" t="str">
        <x:v>Metodología, cuestionarios, series históricas y estadísticas nacionales</x:v>
      </x:c>
      <x:c r="X79" s="308" t="str">
        <x:v>Nuevo recomendado</x:v>
      </x:c>
      <x:c r="Y79" s="308" t="str">
        <x:v>Fuente prioritaria para medir actitudes ciudadanas; revisar siempre muestra, fecha y formulación de preguntas.</x:v>
      </x:c>
      <x:c r="Z79" s="308" t="str">
        <x:v>https://www.afrobarometer.org/about/</x:v>
      </x:c>
      <x:c r="AA79" s="310" t="n">
        <x:v>46219</x:v>
      </x:c>
    </x:row>
    <x:row r="80">
      <x:c r="A80" s="309" t="n">
        <x:v>77</x:v>
      </x:c>
      <x:c r="B80" s="312" t="str">
        <x:v>ISS Africa</x:v>
      </x:c>
      <x:c r="C80" s="313" t="str">
        <x:v>https://issafrica.org/</x:v>
      </x:c>
      <x:c r="D80" s="308" t="str">
        <x:v>Sede en Pretoria; oficinas regionales en Nairobi, Addis Ababa y Dakar</x:v>
      </x:c>
      <x:c r="E80" s="404" t="str">
        <x:v>África - Pancontinental</x:v>
      </x:c>
      <x:c r="F80" s="308" t="str">
        <x:v>Inglés/Francés</x:v>
      </x:c>
      <x:c r="G80" s="308" t="str">
        <x:v>Think tank</x:v>
      </x:c>
      <x:c r="H80" s="308" t="str">
        <x:v>Seguridad, gobernanza, crimen, paz y análisis de políticas</x:v>
      </x:c>
      <x:c r="I80" s="308" t="str">
        <x:v>Organización sin fines de lucro; donantes y socios institucionales</x:v>
      </x:c>
      <x:c r="J80" s="308" t="str">
        <x:v>ONG / think tank</x:v>
      </x:c>
      <x:c r="K80" s="308" t="str">
        <x:v>Centrista / seguridad humana</x:v>
      </x:c>
      <x:c r="L80" s="308" t="str">
        <x:v>Pan-africana / políticas públicas</x:v>
      </x:c>
      <x:c r="M80" s="309" t="n">
        <x:v>5</x:v>
      </x:c>
      <x:c r="N80" s="309" t="n">
        <x:v>5</x:v>
      </x:c>
      <x:c r="O80" s="309" t="n">
        <x:v>5</x:v>
      </x:c>
      <x:c r="P80" s="309" t="n">
        <x:v>5</x:v>
      </x:c>
      <x:c r="Q80" s="309" t="n">
        <x:v>4</x:v>
      </x:c>
      <x:c r="R80" s="309" t="n">
        <x:v>5</x:v>
      </x:c>
      <x:c r="S80" s="311" t="n">
        <x:v>4.8</x:v>
      </x:c>
      <x:c r="T80" s="309" t="str">
        <x:v>Alta</x:v>
      </x:c>
      <x:c r="U80" s="308" t="str">
        <x:v>Seguridad, gobernanza, crimen organizado y Unión Africana</x:v>
      </x:c>
      <x:c r="V80" s="308" t="str">
        <x:v>Moderada</x:v>
      </x:c>
      <x:c r="W80" s="308" t="str">
        <x:v>Datos oficiales, ACLED, ONU y análisis nacionales</x:v>
      </x:c>
      <x:c r="X80" s="308" t="str">
        <x:v>Nuevo recomendado</x:v>
      </x:c>
      <x:c r="Y80" s="308" t="str">
        <x:v>Aporta análisis producido desde oficinas africanas y orientado a decisiones de política pública.</x:v>
      </x:c>
      <x:c r="Z80" s="308" t="str">
        <x:v>https://issafrica.org/about-us</x:v>
      </x:c>
      <x:c r="AA80" s="310" t="n">
        <x:v>46219</x:v>
      </x:c>
    </x:row>
    <x:row r="81">
      <x:c r="A81" s="309" t="n">
        <x:v>79</x:v>
      </x:c>
      <x:c r="B81" s="312" t="str">
        <x:v>African Union (AU)</x:v>
      </x:c>
      <x:c r="C81" s="313" t="str">
        <x:v>https://au.int/</x:v>
      </x:c>
      <x:c r="D81" s="308" t="str">
        <x:v>Organización continental de 55 Estados miembros; Comisión con sede en Addis Ababa</x:v>
      </x:c>
      <x:c r="E81" s="404" t="str">
        <x:v>África - Pancontinental</x:v>
      </x:c>
      <x:c r="F81" s="308" t="str">
        <x:v>Multilingüe</x:v>
      </x:c>
      <x:c r="G81" s="308" t="str">
        <x:v>Organismo internacional</x:v>
      </x:c>
      <x:c r="H81" s="308" t="str">
        <x:v>Tratados, comunicados, decisiones, datos y posiciones oficiales</x:v>
      </x:c>
      <x:c r="I81" s="308" t="str">
        <x:v>Estados miembros</x:v>
      </x:c>
      <x:c r="J81" s="308" t="str">
        <x:v>Oficial / multilateral</x:v>
      </x:c>
      <x:c r="K81" s="308" t="str">
        <x:v>Institucional</x:v>
      </x:c>
      <x:c r="L81" s="308" t="str">
        <x:v>Continental / integración africana</x:v>
      </x:c>
      <x:c r="M81" s="309" t="n">
        <x:v>4</x:v>
      </x:c>
      <x:c r="N81" s="309" t="n">
        <x:v>2</x:v>
      </x:c>
      <x:c r="O81" s="309" t="n">
        <x:v>5</x:v>
      </x:c>
      <x:c r="P81" s="309" t="n">
        <x:v>4</x:v>
      </x:c>
      <x:c r="Q81" s="309" t="n">
        <x:v>4</x:v>
      </x:c>
      <x:c r="R81" s="309" t="n">
        <x:v>5</x:v>
      </x:c>
      <x:c r="S81" s="311" t="n">
        <x:v>4</x:v>
      </x:c>
      <x:c r="T81" s="309" t="str">
        <x:v>Media-alta</x:v>
      </x:c>
      <x:c r="U81" s="308" t="str">
        <x:v>Fuente primaria para decisiones, tratados y posiciones de la Unión Africana</x:v>
      </x:c>
      <x:c r="V81" s="308" t="str">
        <x:v>Moderada; obligatoria para controversias políticas</x:v>
      </x:c>
      <x:c r="W81" s="308" t="str">
        <x:v>Estados miembros, prensa independiente, ONU e instituciones regionales</x:v>
      </x:c>
      <x:c r="X81" s="308" t="str">
        <x:v>Nuevo recomendado</x:v>
      </x:c>
      <x:c r="Y81" s="308" t="str">
        <x:v>Fuente oficial continental: competente para documentos y posiciones propias, no para verificación independiente.</x:v>
      </x:c>
      <x:c r="Z81" s="308" t="str">
        <x:v>https://au.int/en/overview</x:v>
      </x:c>
      <x:c r="AA81" s="310" t="n">
        <x:v>46219</x:v>
      </x:c>
    </x:row>
    <x:row r="82">
      <x:c r="A82" s="309" t="n">
        <x:v>90</x:v>
      </x:c>
      <x:c r="B82" s="312" t="str">
        <x:v>amaBhungane</x:v>
      </x:c>
      <x:c r="C82" s="313" t="str">
        <x:v>https://amabhungane.org/</x:v>
      </x:c>
      <x:c r="D82" s="308" t="str">
        <x:v>Sudáfrica; investigaciones con alcance regional</x:v>
      </x:c>
      <x:c r="E82" s="404" t="str">
        <x:v>África Austral</x:v>
      </x:c>
      <x:c r="F82" s="308" t="str">
        <x:v>Inglés</x:v>
      </x:c>
      <x:c r="G82" s="308" t="str">
        <x:v>Centro de investigación periodística</x:v>
      </x:c>
      <x:c r="H82" s="308" t="str">
        <x:v>Investigaciones de corrupción, dinero y abuso de poder</x:v>
      </x:c>
      <x:c r="I82" s="308" t="str">
        <x:v>Organización independiente sin fines de lucro</x:v>
      </x:c>
      <x:c r="J82" s="308" t="str">
        <x:v>Independiente</x:v>
      </x:c>
      <x:c r="K82" s="308" t="str">
        <x:v>Rendición de cuentas / transparencia</x:v>
      </x:c>
      <x:c r="L82" s="308" t="str">
        <x:v>Sudafricana / África Austral</x:v>
      </x:c>
      <x:c r="M82" s="309" t="n">
        <x:v>5</x:v>
      </x:c>
      <x:c r="N82" s="309" t="n">
        <x:v>5</x:v>
      </x:c>
      <x:c r="O82" s="309" t="n">
        <x:v>5</x:v>
      </x:c>
      <x:c r="P82" s="309" t="n">
        <x:v>5</x:v>
      </x:c>
      <x:c r="Q82" s="309" t="n">
        <x:v>5</x:v>
      </x:c>
      <x:c r="R82" s="309" t="n">
        <x:v>5</x:v>
      </x:c>
      <x:c r="S82" s="311" t="n">
        <x:v>5</x:v>
      </x:c>
      <x:c r="T82" s="309" t="str">
        <x:v>Alta</x:v>
      </x:c>
      <x:c r="U82" s="308" t="str">
        <x:v>Investigaciones complejas, corrupción y captura del Estado</x:v>
      </x:c>
      <x:c r="V82" s="308" t="str">
        <x:v>Baja a moderada</x:v>
      </x:c>
      <x:c r="W82" s="308" t="str">
        <x:v>Documentos originales, respuestas de implicados y registros corporativos</x:v>
      </x:c>
      <x:c r="X82" s="308" t="str">
        <x:v>Nuevo recomendado</x:v>
      </x:c>
      <x:c r="Y82" s="308" t="str">
        <x:v>Redacción sin fines de lucro especializada en investigaciones documentales y de largo plazo.</x:v>
      </x:c>
      <x:c r="Z82" s="308" t="str">
        <x:v>https://amabhungane.org/about/</x:v>
      </x:c>
      <x:c r="AA82" s="310" t="n">
        <x:v>46219</x:v>
      </x:c>
    </x:row>
    <x:row r="83">
      <x:c r="A83" s="309" t="n">
        <x:v>92</x:v>
      </x:c>
      <x:c r="B83" s="312" t="str">
        <x:v>The Namibian</x:v>
      </x:c>
      <x:c r="C83" s="313" t="str">
        <x:v>https://www.namibian.com.na/</x:v>
      </x:c>
      <x:c r="D83" s="308" t="str">
        <x:v>Namibia</x:v>
      </x:c>
      <x:c r="E83" s="404" t="str">
        <x:v>África Austral</x:v>
      </x:c>
      <x:c r="F83" s="308" t="str">
        <x:v>Inglés/Oshiwambo</x:v>
      </x:c>
      <x:c r="G83" s="308" t="str">
        <x:v>Medio generalista</x:v>
      </x:c>
      <x:c r="H83" s="308" t="str">
        <x:v>Noticias nacionales, investigación y economía</x:v>
      </x:c>
      <x:c r="I83" s="308" t="str">
        <x:v>The Free Press of Namibia (Pty) Ltd.</x:v>
      </x:c>
      <x:c r="J83" s="308" t="str">
        <x:v>Privado</x:v>
      </x:c>
      <x:c r="K83" s="308" t="str">
        <x:v>Liberal / independencia y democracia</x:v>
      </x:c>
      <x:c r="L83" s="308" t="str">
        <x:v>Namibia / África Austral</x:v>
      </x:c>
      <x:c r="M83" s="309" t="n">
        <x:v>4</x:v>
      </x:c>
      <x:c r="N83" s="309" t="n">
        <x:v>4</x:v>
      </x:c>
      <x:c r="O83" s="309" t="n">
        <x:v>4</x:v>
      </x:c>
      <x:c r="P83" s="309" t="n">
        <x:v>4</x:v>
      </x:c>
      <x:c r="Q83" s="309" t="n">
        <x:v>4</x:v>
      </x:c>
      <x:c r="R83" s="309" t="n">
        <x:v>4</x:v>
      </x:c>
      <x:c r="S83" s="311" t="n">
        <x:v>4</x:v>
      </x:c>
      <x:c r="T83" s="309" t="str">
        <x:v>Media-alta</x:v>
      </x:c>
      <x:c r="U83" s="308" t="str">
        <x:v>Namibia, recursos naturales, economía y política regional</x:v>
      </x:c>
      <x:c r="V83" s="308" t="str">
        <x:v>Moderada</x:v>
      </x:c>
      <x:c r="W83" s="308" t="str">
        <x:v>Documentos, agencias y medios de África Austral</x:v>
      </x:c>
      <x:c r="X83" s="308" t="str">
        <x:v>Nuevo recomendado</x:v>
      </x:c>
      <x:c r="Y83" s="308" t="str">
        <x:v>Diario de amplia implantación nacional con trayectoria vinculada a la independencia y la prensa libre.</x:v>
      </x:c>
      <x:c r="Z83" s="308" t="str">
        <x:v>https://www.namibian.com.na/about-us/</x:v>
      </x:c>
      <x:c r="AA83" s="310" t="n">
        <x:v>46219</x:v>
      </x:c>
    </x:row>
    <x:row r="84">
      <x:c r="A84" s="309" t="n">
        <x:v>69</x:v>
      </x:c>
      <x:c r="B84" s="312" t="str">
        <x:v>Daily Maverick</x:v>
      </x:c>
      <x:c r="C84" s="313" t="str">
        <x:v>https://www.dailymaverick.co.za/</x:v>
      </x:c>
      <x:c r="D84" s="308" t="str">
        <x:v>Sudáfrica</x:v>
      </x:c>
      <x:c r="E84" s="404" t="str">
        <x:v>África Austral</x:v>
      </x:c>
      <x:c r="F84" s="308" t="str">
        <x:v>Inglés</x:v>
      </x:c>
      <x:c r="G84" s="308" t="str">
        <x:v>Medio independiente</x:v>
      </x:c>
      <x:c r="H84" s="308" t="str">
        <x:v>Noticias, investigación y opinión</x:v>
      </x:c>
      <x:c r="I84" s="308" t="str">
        <x:v>Privado/independiente</x:v>
      </x:c>
      <x:c r="J84" s="308" t="str">
        <x:v>Independiente</x:v>
      </x:c>
      <x:c r="K84" s="308" t="str">
        <x:v>Liberal / reformista</x:v>
      </x:c>
      <x:c r="L84" s="308" t="str">
        <x:v>Sudafricana / africana</x:v>
      </x:c>
      <x:c r="M84" s="309" t="n">
        <x:v>4</x:v>
      </x:c>
      <x:c r="N84" s="309" t="n">
        <x:v>4</x:v>
      </x:c>
      <x:c r="O84" s="309" t="n">
        <x:v>4</x:v>
      </x:c>
      <x:c r="P84" s="309" t="n">
        <x:v>4</x:v>
      </x:c>
      <x:c r="Q84" s="309" t="n">
        <x:v>4</x:v>
      </x:c>
      <x:c r="R84" s="309" t="n">
        <x:v>4</x:v>
      </x:c>
      <x:c r="S84" s="311" t="n">
        <x:v>4</x:v>
      </x:c>
      <x:c r="T84" s="309" t="str">
        <x:v>Media-alta</x:v>
      </x:c>
      <x:c r="U84" s="308" t="str">
        <x:v>Sudáfrica y África subsahariana</x:v>
      </x:c>
      <x:c r="V84" s="308" t="str">
        <x:v>Moderada</x:v>
      </x:c>
      <x:c r="W84" s="308" t="str">
        <x:v>Reuters, AFP y prensa regional</x:v>
      </x:c>
      <x:c r="X84" s="308" t="str">
        <x:v>Nuevo recomendado</x:v>
      </x:c>
      <x:c r="Y84" s="308"/>
      <x:c r="Z84" s="308" t="str">
        <x:v>https://www.dailymaverick.co.za/</x:v>
      </x:c>
      <x:c r="AA84" s="310" t="n">
        <x:v>46219</x:v>
      </x:c>
    </x:row>
    <x:row r="85">
      <x:c r="A85" s="309" t="n">
        <x:v>91</x:v>
      </x:c>
      <x:c r="B85" s="312" t="str">
        <x:v>Mail &amp; Guardian</x:v>
      </x:c>
      <x:c r="C85" s="313" t="str">
        <x:v>https://mg.co.za/</x:v>
      </x:c>
      <x:c r="D85" s="308" t="str">
        <x:v>Sudáfrica; cobertura de África Austral</x:v>
      </x:c>
      <x:c r="E85" s="404" t="str">
        <x:v>África Austral</x:v>
      </x:c>
      <x:c r="F85" s="308" t="str">
        <x:v>Inglés</x:v>
      </x:c>
      <x:c r="G85" s="308" t="str">
        <x:v>Medio generalista / semanal</x:v>
      </x:c>
      <x:c r="H85" s="308" t="str">
        <x:v>Noticias, investigación, análisis y opinión</x:v>
      </x:c>
      <x:c r="I85" s="308" t="str">
        <x:v>Privado comercial</x:v>
      </x:c>
      <x:c r="J85" s="308" t="str">
        <x:v>Privado</x:v>
      </x:c>
      <x:c r="K85" s="308" t="str">
        <x:v>Centro-izquierda / liberal</x:v>
      </x:c>
      <x:c r="L85" s="308" t="str">
        <x:v>Sudafricana / regional</x:v>
      </x:c>
      <x:c r="M85" s="309" t="n">
        <x:v>4</x:v>
      </x:c>
      <x:c r="N85" s="309" t="n">
        <x:v>4</x:v>
      </x:c>
      <x:c r="O85" s="309" t="n">
        <x:v>4</x:v>
      </x:c>
      <x:c r="P85" s="309" t="n">
        <x:v>4</x:v>
      </x:c>
      <x:c r="Q85" s="309" t="n">
        <x:v>4</x:v>
      </x:c>
      <x:c r="R85" s="309" t="n">
        <x:v>4</x:v>
      </x:c>
      <x:c r="S85" s="311" t="n">
        <x:v>4</x:v>
      </x:c>
      <x:c r="T85" s="309" t="str">
        <x:v>Media-alta</x:v>
      </x:c>
      <x:c r="U85" s="308" t="str">
        <x:v>Sudáfrica, política regional, medioambiente y cultura</x:v>
      </x:c>
      <x:c r="V85" s="308" t="str">
        <x:v>Moderada</x:v>
      </x:c>
      <x:c r="W85" s="308" t="str">
        <x:v>Daily Maverick, amaBhungane, agencias y documentos</x:v>
      </x:c>
      <x:c r="X85" s="308" t="str">
        <x:v>Nuevo recomendado</x:v>
      </x:c>
      <x:c r="Y85" s="308" t="str">
        <x:v>Medio de referencia sudafricano; separar claramente investigación, noticias y comentario.</x:v>
      </x:c>
      <x:c r="Z85" s="308" t="str">
        <x:v>https://mg.co.za/about-us/</x:v>
      </x:c>
      <x:c r="AA85" s="310" t="n">
        <x:v>46219</x:v>
      </x:c>
    </x:row>
    <x:row r="86">
      <x:c r="A86" s="309" t="n">
        <x:v>89</x:v>
      </x:c>
      <x:c r="B86" s="312" t="str">
        <x:v>Radio Okapi</x:v>
      </x:c>
      <x:c r="C86" s="313" t="str">
        <x:v>https://www.radiookapi.net/</x:v>
      </x:c>
      <x:c r="D86" s="308" t="str">
        <x:v>República Democrática del Congo; gestionada por MONUSCO</x:v>
      </x:c>
      <x:c r="E86" s="404" t="str">
        <x:v>África Central</x:v>
      </x:c>
      <x:c r="F86" s="308" t="str">
        <x:v>Francés/Lingala/Swahili/Kikongo</x:v>
      </x:c>
      <x:c r="G86" s="308" t="str">
        <x:v>Radiodifusor de Naciones Unidas</x:v>
      </x:c>
      <x:c r="H86" s="308" t="str">
        <x:v>Noticias, servicio público y diálogo nacional</x:v>
      </x:c>
      <x:c r="I86" s="308" t="str">
        <x:v>Naciones Unidas / MONUSCO</x:v>
      </x:c>
      <x:c r="J86" s="308" t="str">
        <x:v>Internacional / oficial</x:v>
      </x:c>
      <x:c r="K86" s="308" t="str">
        <x:v>Servicio público / multilateral</x:v>
      </x:c>
      <x:c r="L86" s="308" t="str">
        <x:v>Congoleña / ONU</x:v>
      </x:c>
      <x:c r="M86" s="309" t="n">
        <x:v>4</x:v>
      </x:c>
      <x:c r="N86" s="309" t="n">
        <x:v>3</x:v>
      </x:c>
      <x:c r="O86" s="309" t="n">
        <x:v>5</x:v>
      </x:c>
      <x:c r="P86" s="309" t="n">
        <x:v>4</x:v>
      </x:c>
      <x:c r="Q86" s="309" t="n">
        <x:v>4</x:v>
      </x:c>
      <x:c r="R86" s="309" t="n">
        <x:v>5</x:v>
      </x:c>
      <x:c r="S86" s="311" t="n">
        <x:v>4.2</x:v>
      </x:c>
      <x:c r="T86" s="309" t="str">
        <x:v>Media-alta</x:v>
      </x:c>
      <x:c r="U86" s="308" t="str">
        <x:v>RDC, información territorial y comunicaciones de servicio público</x:v>
      </x:c>
      <x:c r="V86" s="308" t="str">
        <x:v>Moderada</x:v>
      </x:c>
      <x:c r="W86" s="308" t="str">
        <x:v>Medios congoleños independientes, agencias y documentación local</x:v>
      </x:c>
      <x:c r="X86" s="308" t="str">
        <x:v>Nuevo recomendado</x:v>
      </x:c>
      <x:c r="Y86" s="308" t="str">
        <x:v>Amplia red territorial y multilingüe; su vinculación con MONUSCO debe declararse en asuntos relacionados con la misión.</x:v>
      </x:c>
      <x:c r="Z86" s="308" t="str">
        <x:v>https://www.radiookapi.net/page/propos</x:v>
      </x:c>
      <x:c r="AA86" s="310" t="n">
        <x:v>46219</x:v>
      </x:c>
    </x:row>
    <x:row r="87">
      <x:c r="A87" s="309" t="n">
        <x:v>88</x:v>
      </x:c>
      <x:c r="B87" s="312" t="str">
        <x:v>ACTUALITE.CD</x:v>
      </x:c>
      <x:c r="C87" s="313" t="str">
        <x:v>https://actualite.cd/</x:v>
      </x:c>
      <x:c r="D87" s="308" t="str">
        <x:v>República Democrática del Congo; redacción en Kinshasa y corresponsales nacionales</x:v>
      </x:c>
      <x:c r="E87" s="404" t="str">
        <x:v>África Central</x:v>
      </x:c>
      <x:c r="F87" s="308" t="str">
        <x:v>Francés</x:v>
      </x:c>
      <x:c r="G87" s="308" t="str">
        <x:v>Medio digital generalista</x:v>
      </x:c>
      <x:c r="H87" s="308" t="str">
        <x:v>Política, seguridad, economía y sociedad</x:v>
      </x:c>
      <x:c r="I87" s="308" t="str">
        <x:v>Groupe Next Corp.</x:v>
      </x:c>
      <x:c r="J87" s="308" t="str">
        <x:v>Privado</x:v>
      </x:c>
      <x:c r="K87" s="308" t="str">
        <x:v>Centro / institucional</x:v>
      </x:c>
      <x:c r="L87" s="308" t="str">
        <x:v>Congoleña</x:v>
      </x:c>
      <x:c r="M87" s="309" t="n">
        <x:v>4</x:v>
      </x:c>
      <x:c r="N87" s="309" t="n">
        <x:v>3</x:v>
      </x:c>
      <x:c r="O87" s="309" t="n">
        <x:v>3</x:v>
      </x:c>
      <x:c r="P87" s="309" t="n">
        <x:v>4</x:v>
      </x:c>
      <x:c r="Q87" s="309" t="n">
        <x:v>3</x:v>
      </x:c>
      <x:c r="R87" s="309" t="n">
        <x:v>4</x:v>
      </x:c>
      <x:c r="S87" s="311" t="n">
        <x:v>3.5</x:v>
      </x:c>
      <x:c r="T87" s="309" t="str">
        <x:v>Media-alta</x:v>
      </x:c>
      <x:c r="U87" s="308" t="str">
        <x:v>RDC, conflicto oriental, política y economía</x:v>
      </x:c>
      <x:c r="V87" s="308" t="str">
        <x:v>Alta en conflictos y primicias</x:v>
      </x:c>
      <x:c r="W87" s="308" t="str">
        <x:v>Radio Okapi, Reuters/AFP, MONUSCO, ACLED y medios locales</x:v>
      </x:c>
      <x:c r="X87" s="308" t="str">
        <x:v>Nuevo recomendado</x:v>
      </x:c>
      <x:c r="Y87" s="308" t="str">
        <x:v>Fuente local importante para la RDC; verificar información operativa sobre grupos armados y zonas de difícil acceso.</x:v>
      </x:c>
      <x:c r="Z87" s="308" t="str">
        <x:v>https://actualite.cd/</x:v>
      </x:c>
      <x:c r="AA87" s="310" t="n">
        <x:v>46219</x:v>
      </x:c>
    </x:row>
    <x:row r="88">
      <x:c r="A88" s="309" t="n">
        <x:v>80</x:v>
      </x:c>
      <x:c r="B88" s="312" t="str">
        <x:v>Inkyfada</x:v>
      </x:c>
      <x:c r="C88" s="313" t="str">
        <x:v>https://inkyfada.com/en/</x:v>
      </x:c>
      <x:c r="D88" s="308" t="str">
        <x:v>Túnez</x:v>
      </x:c>
      <x:c r="E88" s="404" t="str">
        <x:v>África del Norte</x:v>
      </x:c>
      <x:c r="F88" s="308" t="str">
        <x:v>Árabe/Francés/Inglés</x:v>
      </x:c>
      <x:c r="G88" s="308" t="str">
        <x:v>Medio independiente / investigación</x:v>
      </x:c>
      <x:c r="H88" s="308" t="str">
        <x:v>Investigación, datos, narrativas multimedia y explicadores</x:v>
      </x:c>
      <x:c r="I88" s="308" t="str">
        <x:v>Colectivo independiente sin fines de lucro; membresías y apoyos</x:v>
      </x:c>
      <x:c r="J88" s="308" t="str">
        <x:v>Independiente</x:v>
      </x:c>
      <x:c r="K88" s="308" t="str">
        <x:v>Progresista / derechos y transparencia</x:v>
      </x:c>
      <x:c r="L88" s="308" t="str">
        <x:v>Tunecina / magrebí</x:v>
      </x:c>
      <x:c r="M88" s="309" t="n">
        <x:v>4</x:v>
      </x:c>
      <x:c r="N88" s="309" t="n">
        <x:v>5</x:v>
      </x:c>
      <x:c r="O88" s="309" t="n">
        <x:v>5</x:v>
      </x:c>
      <x:c r="P88" s="309" t="n">
        <x:v>5</x:v>
      </x:c>
      <x:c r="Q88" s="309" t="n">
        <x:v>4</x:v>
      </x:c>
      <x:c r="R88" s="309" t="n">
        <x:v>5</x:v>
      </x:c>
      <x:c r="S88" s="311" t="n">
        <x:v>4.7</x:v>
      </x:c>
      <x:c r="T88" s="309" t="str">
        <x:v>Alta</x:v>
      </x:c>
      <x:c r="U88" s="308" t="str">
        <x:v>Túnez, migración, corrupción, justicia y Magreb</x:v>
      </x:c>
      <x:c r="V88" s="308" t="str">
        <x:v>Moderada</x:v>
      </x:c>
      <x:c r="W88" s="308" t="str">
        <x:v>Documentos, medios magrebíes, agencias y fuentes oficiales</x:v>
      </x:c>
      <x:c r="X88" s="308" t="str">
        <x:v>Nuevo recomendado</x:v>
      </x:c>
      <x:c r="Y88" s="308" t="str">
        <x:v>Colectivo independiente fundado en Túnez con fuerte capacidad de investigación y periodismo de datos.</x:v>
      </x:c>
      <x:c r="Z88" s="308" t="str">
        <x:v>https://inkyfada.com/en/apropos/</x:v>
      </x:c>
      <x:c r="AA88" s="310" t="n">
        <x:v>46219</x:v>
      </x:c>
    </x:row>
    <x:row r="89">
      <x:c r="A89" s="309" t="n">
        <x:v>81</x:v>
      </x:c>
      <x:c r="B89" s="312" t="str">
        <x:v>Le Desk</x:v>
      </x:c>
      <x:c r="C89" s="313" t="str">
        <x:v>https://ledesk.ma/</x:v>
      </x:c>
      <x:c r="D89" s="308" t="str">
        <x:v>Marruecos</x:v>
      </x:c>
      <x:c r="E89" s="404" t="str">
        <x:v>África del Norte</x:v>
      </x:c>
      <x:c r="F89" s="308" t="str">
        <x:v>Francés</x:v>
      </x:c>
      <x:c r="G89" s="308" t="str">
        <x:v>Medio digital de investigación</x:v>
      </x:c>
      <x:c r="H89" s="308" t="str">
        <x:v>Noticias, investigación y análisis</x:v>
      </x:c>
      <x:c r="I89" s="308" t="str">
        <x:v>Suscripción comercial; Pulse Media</x:v>
      </x:c>
      <x:c r="J89" s="308" t="str">
        <x:v>Privado</x:v>
      </x:c>
      <x:c r="K89" s="308" t="str">
        <x:v>Liberal / crítico</x:v>
      </x:c>
      <x:c r="L89" s="308" t="str">
        <x:v>Marroquí / magrebí</x:v>
      </x:c>
      <x:c r="M89" s="309" t="n">
        <x:v>4</x:v>
      </x:c>
      <x:c r="N89" s="309" t="n">
        <x:v>4</x:v>
      </x:c>
      <x:c r="O89" s="309" t="n">
        <x:v>4</x:v>
      </x:c>
      <x:c r="P89" s="309" t="n">
        <x:v>4</x:v>
      </x:c>
      <x:c r="Q89" s="309" t="n">
        <x:v>4</x:v>
      </x:c>
      <x:c r="R89" s="309" t="n">
        <x:v>4</x:v>
      </x:c>
      <x:c r="S89" s="311" t="n">
        <x:v>4</x:v>
      </x:c>
      <x:c r="T89" s="309" t="str">
        <x:v>Media-alta</x:v>
      </x:c>
      <x:c r="U89" s="308" t="str">
        <x:v>Marruecos, Magreb, diplomacia y redes económicas</x:v>
      </x:c>
      <x:c r="V89" s="308" t="str">
        <x:v>Moderada-alta</x:v>
      </x:c>
      <x:c r="W89" s="308" t="str">
        <x:v>Documentos, agencias, prensa marroquí y medios magrebíes</x:v>
      </x:c>
      <x:c r="X89" s="308" t="str">
        <x:v>Nuevo recomendado</x:v>
      </x:c>
      <x:c r="Y89" s="308" t="str">
        <x:v>Medio de pago con orientación investigativa; corroborar asuntos relacionados con la monarquía, seguridad o fuentes reservadas.</x:v>
      </x:c>
      <x:c r="Z89" s="308" t="str">
        <x:v>https://ledesk.ma/charte-editoriale/</x:v>
      </x:c>
      <x:c r="AA89" s="310" t="n">
        <x:v>46219</x:v>
      </x:c>
    </x:row>
    <x:row r="90">
      <x:c r="A90" s="309" t="n">
        <x:v>31</x:v>
      </x:c>
      <x:c r="B90" s="312" t="str">
        <x:v>Mada Masr</x:v>
      </x:c>
      <x:c r="C90" s="313" t="str">
        <x:v>https://www.madamasr.com/en/</x:v>
      </x:c>
      <x:c r="D90" s="308" t="str">
        <x:v>Egipto</x:v>
      </x:c>
      <x:c r="E90" s="404" t="str">
        <x:v>África del Norte / Medio Oriente</x:v>
      </x:c>
      <x:c r="F90" s="308" t="str">
        <x:v>Árabe/Inglés</x:v>
      </x:c>
      <x:c r="G90" s="308" t="str">
        <x:v>Medio independiente</x:v>
      </x:c>
      <x:c r="H90" s="308" t="str">
        <x:v>Investigación y reportajes</x:v>
      </x:c>
      <x:c r="I90" s="308" t="str">
        <x:v>Independiente</x:v>
      </x:c>
      <x:c r="J90" s="308" t="str">
        <x:v>Independiente</x:v>
      </x:c>
      <x:c r="K90" s="308" t="str">
        <x:v>Progresista / derechos civiles</x:v>
      </x:c>
      <x:c r="L90" s="308" t="str">
        <x:v>Egipcia / regional</x:v>
      </x:c>
      <x:c r="M90" s="309" t="n">
        <x:v>4</x:v>
      </x:c>
      <x:c r="N90" s="309" t="n">
        <x:v>4</x:v>
      </x:c>
      <x:c r="O90" s="309" t="n">
        <x:v>4</x:v>
      </x:c>
      <x:c r="P90" s="309" t="n">
        <x:v>4</x:v>
      </x:c>
      <x:c r="Q90" s="309" t="n">
        <x:v>3</x:v>
      </x:c>
      <x:c r="R90" s="309" t="n">
        <x:v>4</x:v>
      </x:c>
      <x:c r="S90" s="311" t="n">
        <x:v>3.8</x:v>
      </x:c>
      <x:c r="T90" s="309" t="str">
        <x:v>Media-alta</x:v>
      </x:c>
      <x:c r="U90" s="308" t="str">
        <x:v>Egipto, derechos y política regional</x:v>
      </x:c>
      <x:c r="V90" s="308" t="str">
        <x:v>Moderada</x:v>
      </x:c>
      <x:c r="W90" s="308" t="str">
        <x:v>Agencias y documentos oficiales</x:v>
      </x:c>
      <x:c r="X90" s="308" t="str">
        <x:v>Activo</x:v>
      </x:c>
      <x:c r="Y90" s="308"/>
      <x:c r="Z90" s="308" t="str">
        <x:v>https://www.madamasr.com/en/</x:v>
      </x:c>
      <x:c r="AA90" s="310" t="n">
        <x:v>46219</x:v>
      </x:c>
    </x:row>
    <x:row r="91">
      <x:c r="A91" s="309" t="n">
        <x:v>82</x:v>
      </x:c>
      <x:c r="B91" s="312" t="str">
        <x:v>Premium Times</x:v>
      </x:c>
      <x:c r="C91" s="313" t="str">
        <x:v>https://www.premiumtimesng.com/</x:v>
      </x:c>
      <x:c r="D91" s="308" t="str">
        <x:v>Nigeria; redacción principal en Abuja</x:v>
      </x:c>
      <x:c r="E91" s="404" t="str">
        <x:v>África Occidental</x:v>
      </x:c>
      <x:c r="F91" s="308" t="str">
        <x:v>Inglés</x:v>
      </x:c>
      <x:c r="G91" s="308" t="str">
        <x:v>Medio independiente / generalista</x:v>
      </x:c>
      <x:c r="H91" s="308" t="str">
        <x:v>Noticias, investigación, datos y rendición de cuentas</x:v>
      </x:c>
      <x:c r="I91" s="308" t="str">
        <x:v>Empresa periodística nigeriana; publicidad, membresías y proyectos</x:v>
      </x:c>
      <x:c r="J91" s="308" t="str">
        <x:v>Privado</x:v>
      </x:c>
      <x:c r="K91" s="308" t="str">
        <x:v>Reformista / buen gobierno</x:v>
      </x:c>
      <x:c r="L91" s="308" t="str">
        <x:v>Nigeriana / África Occidental</x:v>
      </x:c>
      <x:c r="M91" s="309" t="n">
        <x:v>4</x:v>
      </x:c>
      <x:c r="N91" s="309" t="n">
        <x:v>4</x:v>
      </x:c>
      <x:c r="O91" s="309" t="n">
        <x:v>4</x:v>
      </x:c>
      <x:c r="P91" s="309" t="n">
        <x:v>4</x:v>
      </x:c>
      <x:c r="Q91" s="309" t="n">
        <x:v>4</x:v>
      </x:c>
      <x:c r="R91" s="309" t="n">
        <x:v>4</x:v>
      </x:c>
      <x:c r="S91" s="311" t="n">
        <x:v>4</x:v>
      </x:c>
      <x:c r="T91" s="309" t="str">
        <x:v>Media-alta</x:v>
      </x:c>
      <x:c r="U91" s="308" t="str">
        <x:v>Nigeria, democracia, corrupción, seguridad y economía</x:v>
      </x:c>
      <x:c r="V91" s="308" t="str">
        <x:v>Moderada</x:v>
      </x:c>
      <x:c r="W91" s="308" t="str">
        <x:v>Documentos, agencias y otros medios nigerianos</x:v>
      </x:c>
      <x:c r="X91" s="308" t="str">
        <x:v>Nuevo recomendado</x:v>
      </x:c>
      <x:c r="Y91" s="308" t="str">
        <x:v>Fuerte orientación al periodismo de interés público y proyectos de investigación colaborativa.</x:v>
      </x:c>
      <x:c r="Z91" s="308" t="str">
        <x:v>https://www.premiumtimesng.com/about</x:v>
      </x:c>
      <x:c r="AA91" s="310" t="n">
        <x:v>46219</x:v>
      </x:c>
    </x:row>
    <x:row r="92">
      <x:c r="A92" s="309" t="n">
        <x:v>83</x:v>
      </x:c>
      <x:c r="B92" s="312" t="str">
        <x:v>HumAngle</x:v>
      </x:c>
      <x:c r="C92" s="313" t="str">
        <x:v>https://humanglemedia.com/</x:v>
      </x:c>
      <x:c r="D92" s="308" t="str">
        <x:v>Nigeria; cobertura del Sahel y cuenca del lago Chad</x:v>
      </x:c>
      <x:c r="E92" s="404" t="str">
        <x:v>África Occidental / Sahel</x:v>
      </x:c>
      <x:c r="F92" s="308" t="str">
        <x:v>Inglés</x:v>
      </x:c>
      <x:c r="G92" s="308" t="str">
        <x:v>Medio especializado</x:v>
      </x:c>
      <x:c r="H92" s="308" t="str">
        <x:v>Conflictos, crisis humanitarias, derechos humanos y desarrollo</x:v>
      </x:c>
      <x:c r="I92" s="308" t="str">
        <x:v>Organización periodística especializada; donaciones y proyectos</x:v>
      </x:c>
      <x:c r="J92" s="308" t="str">
        <x:v>Independiente</x:v>
      </x:c>
      <x:c r="K92" s="308" t="str">
        <x:v>Humanitaria / seguridad humana</x:v>
      </x:c>
      <x:c r="L92" s="308" t="str">
        <x:v>África Occidental / Sahel</x:v>
      </x:c>
      <x:c r="M92" s="309" t="n">
        <x:v>4</x:v>
      </x:c>
      <x:c r="N92" s="309" t="n">
        <x:v>4</x:v>
      </x:c>
      <x:c r="O92" s="309" t="n">
        <x:v>4</x:v>
      </x:c>
      <x:c r="P92" s="309" t="n">
        <x:v>4</x:v>
      </x:c>
      <x:c r="Q92" s="309" t="n">
        <x:v>3</x:v>
      </x:c>
      <x:c r="R92" s="309" t="n">
        <x:v>4</x:v>
      </x:c>
      <x:c r="S92" s="311" t="n">
        <x:v>3.8</x:v>
      </x:c>
      <x:c r="T92" s="309" t="str">
        <x:v>Media-alta</x:v>
      </x:c>
      <x:c r="U92" s="308" t="str">
        <x:v>Insurgencias, desplazamiento, violencia y comunidades subcubiertas</x:v>
      </x:c>
      <x:c r="V92" s="308" t="str">
        <x:v>Alta</x:v>
      </x:c>
      <x:c r="W92" s="308" t="str">
        <x:v>ACLED, ONU, agencias, autoridades locales y evidencia geolocalizada</x:v>
      </x:c>
      <x:c r="X92" s="308" t="str">
        <x:v>Nuevo recomendado</x:v>
      </x:c>
      <x:c r="Y92" s="308" t="str">
        <x:v>Especializado en conflictos y crisis humanitarias; distinguir testimonios, estimaciones y hechos verificados.</x:v>
      </x:c>
      <x:c r="Z92" s="308" t="str">
        <x:v>https://humanglemedia.com/about-us/</x:v>
      </x:c>
      <x:c r="AA92" s="310" t="n">
        <x:v>46219</x:v>
      </x:c>
    </x:row>
    <x:row r="93">
      <x:c r="A93" s="309" t="n">
        <x:v>84</x:v>
      </x:c>
      <x:c r="B93" s="312" t="str">
        <x:v>The EastAfrican</x:v>
      </x:c>
      <x:c r="C93" s="313" t="str">
        <x:v>https://www.theeastafrican.co.ke/</x:v>
      </x:c>
      <x:c r="D93" s="308" t="str">
        <x:v>Kenia; publicación regional de Nation Media Group</x:v>
      </x:c>
      <x:c r="E93" s="404" t="str">
        <x:v>África Oriental</x:v>
      </x:c>
      <x:c r="F93" s="308" t="str">
        <x:v>Inglés</x:v>
      </x:c>
      <x:c r="G93" s="308" t="str">
        <x:v>Medio regional</x:v>
      </x:c>
      <x:c r="H93" s="308" t="str">
        <x:v>Política, economía, diplomacia y Comunidad de África Oriental</x:v>
      </x:c>
      <x:c r="I93" s="308" t="str">
        <x:v>Nation Media Group</x:v>
      </x:c>
      <x:c r="J93" s="308" t="str">
        <x:v>Privado comercial</x:v>
      </x:c>
      <x:c r="K93" s="308" t="str">
        <x:v>Centro / regionalista</x:v>
      </x:c>
      <x:c r="L93" s="308" t="str">
        <x:v>África Oriental / integración EAC</x:v>
      </x:c>
      <x:c r="M93" s="309" t="n">
        <x:v>4</x:v>
      </x:c>
      <x:c r="N93" s="309" t="n">
        <x:v>4</x:v>
      </x:c>
      <x:c r="O93" s="309" t="n">
        <x:v>4</x:v>
      </x:c>
      <x:c r="P93" s="309" t="n">
        <x:v>4</x:v>
      </x:c>
      <x:c r="Q93" s="309" t="n">
        <x:v>4</x:v>
      </x:c>
      <x:c r="R93" s="309" t="n">
        <x:v>4</x:v>
      </x:c>
      <x:c r="S93" s="311" t="n">
        <x:v>4</x:v>
      </x:c>
      <x:c r="T93" s="309" t="str">
        <x:v>Media-alta</x:v>
      </x:c>
      <x:c r="U93" s="308" t="str">
        <x:v>Política y geoeconomía de África Oriental</x:v>
      </x:c>
      <x:c r="V93" s="308" t="str">
        <x:v>Moderada</x:v>
      </x:c>
      <x:c r="W93" s="308" t="str">
        <x:v>Medios nacionales, agencias y documentos de la EAC</x:v>
      </x:c>
      <x:c r="X93" s="308" t="str">
        <x:v>Nuevo recomendado</x:v>
      </x:c>
      <x:c r="Y93" s="308" t="str">
        <x:v>Publicación regional con cobertura de Kenia, Tanzania, Uganda, Ruanda, Burundi y Sudán del Sur.</x:v>
      </x:c>
      <x:c r="Z93" s="308" t="str">
        <x:v>https://www.theeastafrican.co.ke/tea/author-profiles/the-eastafrican-1368402</x:v>
      </x:c>
      <x:c r="AA93" s="310" t="n">
        <x:v>46219</x:v>
      </x:c>
    </x:row>
    <x:row r="94">
      <x:c r="A94" s="309" t="n">
        <x:v>86</x:v>
      </x:c>
      <x:c r="B94" s="312" t="str">
        <x:v>Addis Standard</x:v>
      </x:c>
      <x:c r="C94" s="313" t="str">
        <x:v>https://addisstandard.com/</x:v>
      </x:c>
      <x:c r="D94" s="308" t="str">
        <x:v>Etiopía</x:v>
      </x:c>
      <x:c r="E94" s="404" t="str">
        <x:v>África Oriental / Cuerno de África</x:v>
      </x:c>
      <x:c r="F94" s="308" t="str">
        <x:v>Inglés/Afaan Oromoo/Amárico</x:v>
      </x:c>
      <x:c r="G94" s="308" t="str">
        <x:v>Medio independiente</x:v>
      </x:c>
      <x:c r="H94" s="308" t="str">
        <x:v>Noticias y contenido de interés público</x:v>
      </x:c>
      <x:c r="I94" s="308" t="str">
        <x:v>Publicación privada independiente</x:v>
      </x:c>
      <x:c r="J94" s="308" t="str">
        <x:v>Independiente</x:v>
      </x:c>
      <x:c r="K94" s="308" t="str">
        <x:v>Reformista / derechos civiles</x:v>
      </x:c>
      <x:c r="L94" s="308" t="str">
        <x:v>Etíope / Cuerno de África</x:v>
      </x:c>
      <x:c r="M94" s="309" t="n">
        <x:v>4</x:v>
      </x:c>
      <x:c r="N94" s="309" t="n">
        <x:v>4</x:v>
      </x:c>
      <x:c r="O94" s="309" t="n">
        <x:v>4</x:v>
      </x:c>
      <x:c r="P94" s="309" t="n">
        <x:v>4</x:v>
      </x:c>
      <x:c r="Q94" s="309" t="n">
        <x:v>3</x:v>
      </x:c>
      <x:c r="R94" s="309" t="n">
        <x:v>4</x:v>
      </x:c>
      <x:c r="S94" s="311" t="n">
        <x:v>3.8</x:v>
      </x:c>
      <x:c r="T94" s="309" t="str">
        <x:v>Media-alta</x:v>
      </x:c>
      <x:c r="U94" s="308" t="str">
        <x:v>Etiopía, Unión Africana y Cuerno de África</x:v>
      </x:c>
      <x:c r="V94" s="308" t="str">
        <x:v>Alta en conflictos y política interna</x:v>
      </x:c>
      <x:c r="W94" s="308" t="str">
        <x:v>Reuters/AP, medios regionales, AU, ONU y fuentes oficiales</x:v>
      </x:c>
      <x:c r="X94" s="308" t="str">
        <x:v>Nuevo recomendado</x:v>
      </x:c>
      <x:c r="Y94" s="308" t="str">
        <x:v>Útil por acceso local y cobertura trilingüe; el entorno político etíope exige triangulación reforzada.</x:v>
      </x:c>
      <x:c r="Z94" s="308" t="str">
        <x:v>https://addisstandard.com/about-us/</x:v>
      </x:c>
      <x:c r="AA94" s="310" t="n">
        <x:v>46219</x:v>
      </x:c>
    </x:row>
    <x:row r="95">
      <x:c r="A95" s="309" t="n">
        <x:v>85</x:v>
      </x:c>
      <x:c r="B95" s="312" t="str">
        <x:v>The Elephant</x:v>
      </x:c>
      <x:c r="C95" s="313" t="str">
        <x:v>https://www.theelephant.info/</x:v>
      </x:c>
      <x:c r="D95" s="308" t="str">
        <x:v>Kenia; alcance pan-africano</x:v>
      </x:c>
      <x:c r="E95" s="404" t="str">
        <x:v>África Oriental / Pancontinental</x:v>
      </x:c>
      <x:c r="F95" s="308" t="str">
        <x:v>Inglés</x:v>
      </x:c>
      <x:c r="G95" s="308" t="str">
        <x:v>Plataforma de análisis</x:v>
      </x:c>
      <x:c r="H95" s="308" t="str">
        <x:v>Ensayo, opinión, investigación y debate</x:v>
      </x:c>
      <x:c r="I95" s="308" t="str">
        <x:v>Membresías, socios y financiación declarada</x:v>
      </x:c>
      <x:c r="J95" s="308" t="str">
        <x:v>Independiente</x:v>
      </x:c>
      <x:c r="K95" s="308" t="str">
        <x:v>Pan-africanista / progresista</x:v>
      </x:c>
      <x:c r="L95" s="308" t="str">
        <x:v>Kenia / pan-africana</x:v>
      </x:c>
      <x:c r="M95" s="309" t="n">
        <x:v>3</x:v>
      </x:c>
      <x:c r="N95" s="309" t="n">
        <x:v>4</x:v>
      </x:c>
      <x:c r="O95" s="309" t="n">
        <x:v>4</x:v>
      </x:c>
      <x:c r="P95" s="309" t="n">
        <x:v>4</x:v>
      </x:c>
      <x:c r="Q95" s="309" t="n">
        <x:v>3</x:v>
      </x:c>
      <x:c r="R95" s="309" t="n">
        <x:v>3</x:v>
      </x:c>
      <x:c r="S95" s="311" t="n">
        <x:v>3.5</x:v>
      </x:c>
      <x:c r="T95" s="309" t="str">
        <x:v>Media-alta</x:v>
      </x:c>
      <x:c r="U95" s="308" t="str">
        <x:v>Interpretación política, sociedad civil y debate intelectual</x:v>
      </x:c>
      <x:c r="V95" s="308" t="str">
        <x:v>Alta</x:v>
      </x:c>
      <x:c r="W95" s="308" t="str">
        <x:v>Noticias factuales, documentos y perspectivas ideológicas distintas</x:v>
      </x:c>
      <x:c r="X95" s="308" t="str">
        <x:v>Nuevo recomendado</x:v>
      </x:c>
      <x:c r="Y95" s="308" t="str">
        <x:v>Aporta análisis valioso, pero una parte importante del contenido es opinión o ensayo y no debe tratarse como noticia.</x:v>
      </x:c>
      <x:c r="Z95" s="308" t="str">
        <x:v>https://www.theelephant.info/about/</x:v>
      </x:c>
      <x:c r="AA95" s="310" t="n">
        <x:v>46219</x:v>
      </x:c>
    </x:row>
    <x:row r="96">
      <x:c r="A96" s="61" t="n">
        <x:v>87</x:v>
      </x:c>
      <x:c r="B96" s="73" t="str">
        <x:v>Africa Uncensored</x:v>
      </x:c>
      <x:c r="C96" s="77" t="str">
        <x:v>https://africauncensored.online/</x:v>
      </x:c>
      <x:c r="D96" s="53" t="str">
        <x:v>Kenia; investigaciones de alcance continental</x:v>
      </x:c>
      <x:c r="E96" s="405" t="str">
        <x:v>África Oriental / Pancontinental</x:v>
      </x:c>
      <x:c r="F96" s="53" t="str">
        <x:v>Inglés/Producción audiovisual</x:v>
      </x:c>
      <x:c r="G96" s="53" t="str">
        <x:v>Medio de investigación</x:v>
      </x:c>
      <x:c r="H96" s="53" t="str">
        <x:v>Investigación audiovisual y periodismo de interés público</x:v>
      </x:c>
      <x:c r="I96" s="53" t="str">
        <x:v>Medio independiente</x:v>
      </x:c>
      <x:c r="J96" s="53" t="str">
        <x:v>Independiente</x:v>
      </x:c>
      <x:c r="K96" s="53" t="str">
        <x:v>Rendición de cuentas / interés público</x:v>
      </x:c>
      <x:c r="L96" s="53" t="str">
        <x:v>Kenia / pan-africana</x:v>
      </x:c>
      <x:c r="M96" s="61" t="n">
        <x:v>4</x:v>
      </x:c>
      <x:c r="N96" s="61" t="n">
        <x:v>5</x:v>
      </x:c>
      <x:c r="O96" s="61" t="n">
        <x:v>4</x:v>
      </x:c>
      <x:c r="P96" s="61" t="n">
        <x:v>5</x:v>
      </x:c>
      <x:c r="Q96" s="61" t="n">
        <x:v>4</x:v>
      </x:c>
      <x:c r="R96" s="61" t="n">
        <x:v>4</x:v>
      </x:c>
      <x:c r="S96" s="69" t="n">
        <x:v>4.3</x:v>
      </x:c>
      <x:c r="T96" s="61" t="str">
        <x:v>Alta</x:v>
      </x:c>
      <x:c r="U96" s="53" t="str">
        <x:v>Investigaciones, corrupción y asuntos subcubiertos</x:v>
      </x:c>
      <x:c r="V96" s="53" t="str">
        <x:v>Moderada</x:v>
      </x:c>
      <x:c r="W96" s="53" t="str">
        <x:v>Documentos originales, respuestas de implicados y prensa nacional</x:v>
      </x:c>
      <x:c r="X96" s="53" t="str">
        <x:v>Nuevo recomendado</x:v>
      </x:c>
      <x:c r="Y96" s="53" t="str">
        <x:v>Casa de periodismo investigativo con sede en Nairobi; prioriza investigaciones visuales y de largo formato.</x:v>
      </x:c>
      <x:c r="Z96" s="53" t="str">
        <x:v>https://africauncensored.online/about/</x:v>
      </x:c>
      <x:c r="AA96" s="65" t="n">
        <x:v>46219</x:v>
      </x:c>
    </x:row>
    <x:row r="97">
      <x:c r="A97" t="n">
        <x:v>93</x:v>
      </x:c>
      <x:c r="B97" t="str">
        <x:v>Geopolitical Futures</x:v>
      </x:c>
      <x:c r="C97" t="str">
        <x:v>https://geopoliticalfutures.com/</x:v>
      </x:c>
      <x:c r="D97" t="str">
        <x:v>Estados Unidos; sede en Austin, Texas; alcance global</x:v>
      </x:c>
      <x:c r="E97" t="str">
        <x:v>Global/Occidente</x:v>
      </x:c>
      <x:c r="F97" t="str">
        <x:v>Inglés</x:v>
      </x:c>
      <x:c r="G97" t="str">
        <x:v>Publicación especializada de análisis geopolítico</x:v>
      </x:c>
      <x:c r="H97" t="str">
        <x:v>Análisis estratégico, prospectiva y evaluación de riesgos geopolíticos</x:v>
      </x:c>
      <x:c r="I97" t="str">
        <x:v>Empresa privada; modelo de suscripción y apoyo de lectores</x:v>
      </x:c>
      <x:c r="J97" t="str">
        <x:v>Privado</x:v>
      </x:c>
      <x:c r="K97" t="str">
        <x:v>Realista / pragmático</x:v>
      </x:c>
      <x:c r="L97" t="str">
        <x:v>Estadounidense / realista geoestratégica</x:v>
      </x:c>
      <x:c r="M97" t="n">
        <x:v>4</x:v>
      </x:c>
      <x:c r="N97" t="n">
        <x:v>4</x:v>
      </x:c>
      <x:c r="O97" t="n">
        <x:v>3</x:v>
      </x:c>
      <x:c r="P97" t="n">
        <x:v>4</x:v>
      </x:c>
      <x:c r="Q97" t="n">
        <x:v>3</x:v>
      </x:c>
      <x:c r="R97" t="n">
        <x:v>4</x:v>
      </x:c>
      <x:c r="S97" t="n">
        <x:v>3.7</x:v>
      </x:c>
      <x:c r="T97" t="str">
        <x:v>Media-alta</x:v>
      </x:c>
      <x:c r="U97" t="str">
        <x:v>Escenarios, análisis estructural y seguimiento de riesgos geopolíticos</x:v>
      </x:c>
      <x:c r="V97" t="str">
        <x:v>Moderada-alta</x:v>
      </x:c>
      <x:c r="W97" t="str">
        <x:v>Reuters/AP, fuentes primarias, think tanks de perspectivas distintas y medios locales</x:v>
      </x:c>
      <x:c r="X97" t="str">
        <x:v>Nuevo recomendado</x:v>
      </x:c>
      <x:c r="Y97" t="str">
        <x:v>Fundada por George Friedman. Ofrece análisis y previsiones mediante un modelo propio; sus interpretaciones y pronósticos deben contrastarse con datos, fuentes primarias y perspectivas regionales. No usar como confirmación única de hechos.</x:v>
      </x:c>
      <x:c r="Z97" t="str">
        <x:v>https://geopoliticalfutures.com/analysis/</x:v>
      </x:c>
      <x:c r="AA97" t="n">
        <x:v>46229</x:v>
      </x:c>
    </x:row>
  </x:sheetData>
  <x:mergeCells>
    <x:mergeCell ref="A1:AA1"/>
    <x:mergeCell ref="A2:AA2"/>
  </x:mergeCells>
  <x:pageMargins left="0.7" right="0.7" top="0.75" bottom="0.75" header="0.3" footer="0.3"/>
  <x:tableParts count="1">
    <x:tablePart xmlns:r="http://schemas.openxmlformats.org/officeDocument/2006/relationships" r:id="R65790e2480984c7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8" hidden="0" customWidth="1"/>
    <x:col min="3" max="3" width="34" hidden="0" customWidth="1"/>
    <x:col min="4" max="4" width="27" hidden="0" customWidth="1"/>
    <x:col min="5" max="5" width="22" hidden="0" customWidth="1"/>
    <x:col min="6" max="6" width="19" hidden="0" customWidth="1"/>
    <x:col min="7" max="7" width="24" hidden="0" customWidth="1"/>
    <x:col min="8" max="8" width="30" hidden="0" customWidth="1"/>
    <x:col min="9" max="9" width="28" hidden="0" customWidth="1"/>
    <x:col min="10" max="10" width="20" hidden="0" customWidth="1"/>
    <x:col min="11" max="11" width="24" hidden="0" customWidth="1"/>
    <x:col min="12" max="12" width="28" hidden="0" customWidth="1"/>
    <x:col min="13" max="13" width="13" hidden="0" customWidth="1"/>
    <x:col min="14" max="14" width="14" hidden="0" customWidth="1"/>
    <x:col min="15" max="15" width="13" hidden="0" customWidth="1"/>
    <x:col min="16" max="16" width="13" hidden="0" customWidth="1"/>
    <x:col min="17" max="17" width="14" hidden="0" customWidth="1"/>
    <x:col min="18" max="18" width="15" hidden="0" customWidth="1"/>
    <x:col min="19" max="19" width="12" hidden="0" customWidth="1"/>
    <x:col min="20" max="20" width="15" hidden="0" customWidth="1"/>
    <x:col min="21" max="21" width="33" hidden="0" customWidth="1"/>
    <x:col min="22" max="22" width="24" hidden="0" customWidth="1"/>
    <x:col min="23" max="23" width="35" hidden="0" customWidth="1"/>
    <x:col min="24" max="24" width="18" hidden="0" customWidth="1"/>
    <x:col min="25" max="25" width="44" hidden="0" customWidth="1"/>
    <x:col min="26" max="26" width="38" hidden="0" customWidth="1"/>
    <x:col min="27" max="27" width="15" hidden="0" customWidth="1"/>
  </x:cols>
  <x:sheetData>
    <x:row r="1" ht="30" customHeight="1">
      <x:c r="A1" s="394" t="str">
        <x:v>Fuentes ordenadas por función epistemológica</x:v>
      </x:c>
      <x:c r="B1" s="394"/>
      <x:c r="C1" s="394"/>
      <x:c r="D1" s="394"/>
      <x:c r="E1" s="394"/>
      <x:c r="F1" s="394"/>
      <x:c r="G1" s="394"/>
      <x:c r="H1" s="394"/>
      <x:c r="I1" s="394"/>
      <x:c r="J1" s="394"/>
      <x:c r="K1" s="394"/>
      <x:c r="L1" s="394"/>
      <x:c r="M1" s="394"/>
      <x:c r="N1" s="394"/>
      <x:c r="O1" s="394"/>
      <x:c r="P1" s="394"/>
      <x:c r="Q1" s="394"/>
      <x:c r="R1" s="394"/>
      <x:c r="S1" s="394"/>
      <x:c r="T1" s="394"/>
      <x:c r="U1" s="394"/>
      <x:c r="V1" s="394"/>
      <x:c r="W1" s="394"/>
      <x:c r="X1" s="394"/>
      <x:c r="Y1" s="394"/>
      <x:c r="Z1" s="394"/>
      <x:c r="AA1" s="394"/>
    </x:row>
    <x:row r="2" ht="34" customHeight="1">
      <x:c r="A2" s="398" t="str">
        <x:v>Utilice los filtros de la fila 4. La columna H está resaltada y permite distinguir noticias, investigación, análisis, datos, opinión y fuentes oficiales. Se conservan M:AA.</x:v>
      </x:c>
      <x:c r="B2" s="398"/>
      <x:c r="C2" s="398"/>
      <x:c r="D2" s="398"/>
      <x:c r="E2" s="398"/>
      <x:c r="F2" s="398"/>
      <x:c r="G2" s="398"/>
      <x:c r="H2" s="398"/>
      <x:c r="I2" s="398"/>
      <x:c r="J2" s="398"/>
      <x:c r="K2" s="398"/>
      <x:c r="L2" s="398"/>
      <x:c r="M2" s="398"/>
      <x:c r="N2" s="398"/>
      <x:c r="O2" s="398"/>
      <x:c r="P2" s="398"/>
      <x:c r="Q2" s="398"/>
      <x:c r="R2" s="398"/>
      <x:c r="S2" s="398"/>
      <x:c r="T2" s="398"/>
      <x:c r="U2" s="398"/>
      <x:c r="V2" s="398"/>
      <x:c r="W2" s="398"/>
      <x:c r="X2" s="398"/>
      <x:c r="Y2" s="398"/>
      <x:c r="Z2" s="398"/>
      <x:c r="AA2" s="398"/>
    </x:row>
    <x:row r="4" ht="48" customHeight="1">
      <x:c r="A4" s="403" t="str">
        <x:v>ID</x:v>
      </x:c>
      <x:c r="B4" s="403" t="str">
        <x:v>Nombre</x:v>
      </x:c>
      <x:c r="C4" s="403" t="str">
        <x:v>URL</x:v>
      </x:c>
      <x:c r="D4" s="403" t="str">
        <x:v>Sede / alcance institucional</x:v>
      </x:c>
      <x:c r="E4" s="403" t="str">
        <x:v>Región principal</x:v>
      </x:c>
      <x:c r="F4" s="403" t="str">
        <x:v>Idioma / edición</x:v>
      </x:c>
      <x:c r="G4" s="403" t="str">
        <x:v>Familia de fuente</x:v>
      </x:c>
      <x:c r="H4" s="403" t="str">
        <x:v>Función epistemológica</x:v>
      </x:c>
      <x:c r="I4" s="403" t="str">
        <x:v>Propiedad / financiación</x:v>
      </x:c>
      <x:c r="J4" s="403" t="str">
        <x:v>Tipo de control</x:v>
      </x:c>
      <x:c r="K4" s="403" t="str">
        <x:v>Orientación editorial</x:v>
      </x:c>
      <x:c r="L4" s="403" t="str">
        <x:v>Perspectiva geopolítica</x:v>
      </x:c>
      <x:c r="M4" s="403" t="str">
        <x:v>Fiabilidad factual (1-5)</x:v>
      </x:c>
      <x:c r="N4" s="403" t="str">
        <x:v>Independencia editorial (1-5)</x:v>
      </x:c>
      <x:c r="O4" s="403" t="str">
        <x:v>Transparencia (1-5)</x:v>
      </x:c>
      <x:c r="P4" s="403" t="str">
        <x:v>Rigor metodológico (1-5)</x:v>
      </x:c>
      <x:c r="Q4" s="403" t="str">
        <x:v>Política de correcciones (1-5)</x:v>
      </x:c>
      <x:c r="R4" s="403" t="str">
        <x:v>Separación noticia/opinión (1-5)</x:v>
      </x:c>
      <x:c r="S4" s="403" t="str">
        <x:v>Puntuación global</x:v>
      </x:c>
      <x:c r="T4" s="403" t="str">
        <x:v>Nivel de confianza</x:v>
      </x:c>
      <x:c r="U4" s="403" t="str">
        <x:v>Uso analítico recomendado</x:v>
      </x:c>
      <x:c r="V4" s="403" t="str">
        <x:v>Corroboración requerida</x:v>
      </x:c>
      <x:c r="W4" s="403" t="str">
        <x:v>Corroborar con</x:v>
      </x:c>
      <x:c r="X4" s="403" t="str">
        <x:v>Estado</x:v>
      </x:c>
      <x:c r="Y4" s="403" t="str">
        <x:v>Observaciones</x:v>
      </x:c>
      <x:c r="Z4" s="403" t="str">
        <x:v>Referencia institucional</x:v>
      </x:c>
      <x:c r="AA4" s="403" t="str">
        <x:v>Fecha de revisión</x:v>
      </x:c>
    </x:row>
    <x:row r="5">
      <x:c r="A5" s="309" t="n">
        <x:v>65</x:v>
      </x:c>
      <x:c r="B5" s="312" t="str">
        <x:v>The Seventh Eye</x:v>
      </x:c>
      <x:c r="C5" s="313" t="str">
        <x:v>https://www.the7eye.org.il/</x:v>
      </x:c>
      <x:c r="D5" s="308" t="str">
        <x:v>Israel</x:v>
      </x:c>
      <x:c r="E5" s="308" t="str">
        <x:v>Medio Oriente</x:v>
      </x:c>
      <x:c r="F5" s="308" t="str">
        <x:v>Hebreo</x:v>
      </x:c>
      <x:c r="G5" s="308" t="str">
        <x:v>Watchdog de medios</x:v>
      </x:c>
      <x:c r="H5" s="404" t="str">
        <x:v>Análisis de medios, propiedad y ética</x:v>
      </x:c>
      <x:c r="I5" s="308" t="str">
        <x:v>Organización independiente</x:v>
      </x:c>
      <x:c r="J5" s="308" t="str">
        <x:v>Independiente</x:v>
      </x:c>
      <x:c r="K5" s="308" t="str">
        <x:v>Crítico / plural</x:v>
      </x:c>
      <x:c r="L5" s="308" t="str">
        <x:v>Israelí / observación mediática</x:v>
      </x:c>
      <x:c r="M5" s="309" t="n">
        <x:v>4</x:v>
      </x:c>
      <x:c r="N5" s="309" t="n">
        <x:v>4</x:v>
      </x:c>
      <x:c r="O5" s="309" t="n">
        <x:v>4</x:v>
      </x:c>
      <x:c r="P5" s="309" t="n">
        <x:v>4</x:v>
      </x:c>
      <x:c r="Q5" s="309" t="n">
        <x:v>3</x:v>
      </x:c>
      <x:c r="R5" s="309" t="n">
        <x:v>5</x:v>
      </x:c>
      <x:c r="S5" s="311" t="n">
        <x:v>4</x:v>
      </x:c>
      <x:c r="T5" s="309" t="str">
        <x:v>Media-alta</x:v>
      </x:c>
      <x:c r="U5" s="308" t="str">
        <x:v>Ecosistema mediático israelí y conflictos de interés</x:v>
      </x:c>
      <x:c r="V5" s="308" t="str">
        <x:v>Moderada</x:v>
      </x:c>
      <x:c r="W5" s="308" t="str">
        <x:v>Documentos corporativos y otras evaluaciones</x:v>
      </x:c>
      <x:c r="X5" s="308" t="str">
        <x:v>Activo</x:v>
      </x:c>
      <x:c r="Y5" s="308"/>
      <x:c r="Z5" s="308" t="str">
        <x:v>https://www.the7eye.org.il/</x:v>
      </x:c>
      <x:c r="AA5" s="310" t="n">
        <x:v>46219</x:v>
      </x:c>
    </x:row>
    <x:row r="6">
      <x:c r="A6" s="309" t="n">
        <x:v>32</x:v>
      </x:c>
      <x:c r="B6" s="312" t="str">
        <x:v>Chatham House</x:v>
      </x:c>
      <x:c r="C6" s="313" t="str">
        <x:v>https://www.chathamhouse.org/</x:v>
      </x:c>
      <x:c r="D6" s="308" t="str">
        <x:v>Reino Unido; alcance global</x:v>
      </x:c>
      <x:c r="E6" s="308" t="str">
        <x:v>Global</x:v>
      </x:c>
      <x:c r="F6" s="308" t="str">
        <x:v>Inglés</x:v>
      </x:c>
      <x:c r="G6" s="308" t="str">
        <x:v>Think tank</x:v>
      </x:c>
      <x:c r="H6" s="404" t="str">
        <x:v>Análisis de políticas</x:v>
      </x:c>
      <x:c r="I6" s="308" t="str">
        <x:v>Organización sin fines de lucro</x:v>
      </x:c>
      <x:c r="J6" s="308" t="str">
        <x:v>ONG/think tank</x:v>
      </x:c>
      <x:c r="K6" s="308" t="str">
        <x:v>Centrista institucional</x:v>
      </x:c>
      <x:c r="L6" s="308" t="str">
        <x:v>Británica / multilateral</x:v>
      </x:c>
      <x:c r="M6" s="309" t="n">
        <x:v>4</x:v>
      </x:c>
      <x:c r="N6" s="309" t="n">
        <x:v>4</x:v>
      </x:c>
      <x:c r="O6" s="309" t="n">
        <x:v>5</x:v>
      </x:c>
      <x:c r="P6" s="309" t="n">
        <x:v>5</x:v>
      </x:c>
      <x:c r="Q6" s="309" t="n">
        <x:v>4</x:v>
      </x:c>
      <x:c r="R6" s="309" t="n">
        <x:v>5</x:v>
      </x:c>
      <x:c r="S6" s="311" t="n">
        <x:v>4.5</x:v>
      </x:c>
      <x:c r="T6" s="309" t="str">
        <x:v>Alta</x:v>
      </x:c>
      <x:c r="U6" s="308" t="str">
        <x:v>Contexto estratégico y políticas públicas</x:v>
      </x:c>
      <x:c r="V6" s="308" t="str">
        <x:v>Moderada</x:v>
      </x:c>
      <x:c r="W6" s="308" t="str">
        <x:v>Datos primarios, trabajos académicos y otras escuelas</x:v>
      </x:c>
      <x:c r="X6" s="308" t="str">
        <x:v>Activo</x:v>
      </x:c>
      <x:c r="Y6" s="308"/>
      <x:c r="Z6" s="308" t="str">
        <x:v>https://www.chathamhouse.org/</x:v>
      </x:c>
      <x:c r="AA6" s="310" t="n">
        <x:v>46219</x:v>
      </x:c>
    </x:row>
    <x:row r="7">
      <x:c r="A7" s="309" t="n">
        <x:v>76</x:v>
      </x:c>
      <x:c r="B7" s="312" t="str">
        <x:v>Africa Confidential</x:v>
      </x:c>
      <x:c r="C7" s="313" t="str">
        <x:v>https://www.africa-confidential.com/</x:v>
      </x:c>
      <x:c r="D7" s="308" t="str">
        <x:v>Reino Unido; cobertura especializada de todo el continente</x:v>
      </x:c>
      <x:c r="E7" s="308" t="str">
        <x:v>África - Pancontinental</x:v>
      </x:c>
      <x:c r="F7" s="308" t="str">
        <x:v>Inglés</x:v>
      </x:c>
      <x:c r="G7" s="308" t="str">
        <x:v>Boletín especializado</x:v>
      </x:c>
      <x:c r="H7" s="404" t="str">
        <x:v>Análisis político, económico y de seguridad; información de fuentes internas</x:v>
      </x:c>
      <x:c r="I7" s="308" t="str">
        <x:v>Suscripción comercial</x:v>
      </x:c>
      <x:c r="J7" s="308" t="str">
        <x:v>Privado</x:v>
      </x:c>
      <x:c r="K7" s="308" t="str">
        <x:v>Pragmático / élites y poder</x:v>
      </x:c>
      <x:c r="L7" s="308" t="str">
        <x:v>Pan-africana desde una publicación especializada británica</x:v>
      </x:c>
      <x:c r="M7" s="309" t="n">
        <x:v>4</x:v>
      </x:c>
      <x:c r="N7" s="309" t="n">
        <x:v>4</x:v>
      </x:c>
      <x:c r="O7" s="309" t="n">
        <x:v>4</x:v>
      </x:c>
      <x:c r="P7" s="309" t="n">
        <x:v>4</x:v>
      </x:c>
      <x:c r="Q7" s="309" t="n">
        <x:v>3</x:v>
      </x:c>
      <x:c r="R7" s="309" t="n">
        <x:v>4</x:v>
      </x:c>
      <x:c r="S7" s="311" t="n">
        <x:v>3.8</x:v>
      </x:c>
      <x:c r="T7" s="309" t="str">
        <x:v>Media-alta</x:v>
      </x:c>
      <x:c r="U7" s="308" t="str">
        <x:v>Análisis de élites, redes de poder y señales tempranas</x:v>
      </x:c>
      <x:c r="V7" s="308" t="str">
        <x:v>Alta para afirmaciones basadas en fuentes anónimas</x:v>
      </x:c>
      <x:c r="W7" s="308" t="str">
        <x:v>Documentos, prensa local, agencias y fuentes con posiciones contrapuestas</x:v>
      </x:c>
      <x:c r="X7" s="308" t="str">
        <x:v>Nuevo recomendado</x:v>
      </x:c>
      <x:c r="Y7" s="308" t="str">
        <x:v>Muy útil para hipótesis y contexto; las exclusivas de fuentes internas requieren confirmación adicional.</x:v>
      </x:c>
      <x:c r="Z7" s="308" t="str">
        <x:v>https://www.africa-confidential.com/about-africa-confidential</x:v>
      </x:c>
      <x:c r="AA7" s="310" t="n">
        <x:v>46219</x:v>
      </x:c>
    </x:row>
    <x:row r="8">
      <x:c r="A8" s="309" t="n">
        <x:v>42</x:v>
      </x:c>
      <x:c r="B8" s="312" t="str">
        <x:v>Arms Control Association</x:v>
      </x:c>
      <x:c r="C8" s="313" t="str">
        <x:v>https://www.armscontrol.org/</x:v>
      </x:c>
      <x:c r="D8" s="308" t="str">
        <x:v>Estados Unidos; alcance global</x:v>
      </x:c>
      <x:c r="E8" s="308" t="str">
        <x:v>Global</x:v>
      </x:c>
      <x:c r="F8" s="308" t="str">
        <x:v>Inglés</x:v>
      </x:c>
      <x:c r="G8" s="308" t="str">
        <x:v>ONG especializada</x:v>
      </x:c>
      <x:c r="H8" s="404" t="str">
        <x:v>Análisis y advocacy sobre control de armas</x:v>
      </x:c>
      <x:c r="I8" s="308" t="str">
        <x:v>Organización sin fines de lucro</x:v>
      </x:c>
      <x:c r="J8" s="308" t="str">
        <x:v>ONG/advocacy</x:v>
      </x:c>
      <x:c r="K8" s="308" t="str">
        <x:v>No partidista; favorable al control de armas</x:v>
      </x:c>
      <x:c r="L8" s="308" t="str">
        <x:v>Control de armas / no proliferación</x:v>
      </x:c>
      <x:c r="M8" s="309" t="n">
        <x:v>4</x:v>
      </x:c>
      <x:c r="N8" s="309" t="n">
        <x:v>4</x:v>
      </x:c>
      <x:c r="O8" s="309" t="n">
        <x:v>5</x:v>
      </x:c>
      <x:c r="P8" s="309" t="n">
        <x:v>4</x:v>
      </x:c>
      <x:c r="Q8" s="309" t="n">
        <x:v>4</x:v>
      </x:c>
      <x:c r="R8" s="309" t="n">
        <x:v>5</x:v>
      </x:c>
      <x:c r="S8" s="311" t="n">
        <x:v>4.3</x:v>
      </x:c>
      <x:c r="T8" s="309" t="str">
        <x:v>Alta</x:v>
      </x:c>
      <x:c r="U8" s="308" t="str">
        <x:v>Cronologías, tratados y política de no proliferación</x:v>
      </x:c>
      <x:c r="V8" s="308" t="str">
        <x:v>Moderada</x:v>
      </x:c>
      <x:c r="W8" s="308" t="str">
        <x:v>OIEA, tratados y posiciones gubernamentales</x:v>
      </x:c>
      <x:c r="X8" s="308" t="str">
        <x:v>Activo</x:v>
      </x:c>
      <x:c r="Y8" s="308" t="str">
        <x:v>Reubicada: no es organismo oficial.</x:v>
      </x:c>
      <x:c r="Z8" s="308" t="str">
        <x:v>https://www.armscontrol.org/about</x:v>
      </x:c>
      <x:c r="AA8" s="310" t="n">
        <x:v>46219</x:v>
      </x:c>
    </x:row>
    <x:row r="9">
      <x:c r="A9" s="309" t="n">
        <x:v>75</x:v>
      </x:c>
      <x:c r="B9" s="312" t="str">
        <x:v>African Arguments</x:v>
      </x:c>
      <x:c r="C9" s="313" t="str">
        <x:v>https://africanarguments.org/</x:v>
      </x:c>
      <x:c r="D9" s="308" t="str">
        <x:v>Plataforma pan-africana alojada por Royal African Society e International Africa Institute</x:v>
      </x:c>
      <x:c r="E9" s="308" t="str">
        <x:v>África - Pancontinental</x:v>
      </x:c>
      <x:c r="F9" s="308" t="str">
        <x:v>Inglés</x:v>
      </x:c>
      <x:c r="G9" s="308" t="str">
        <x:v>Plataforma de análisis</x:v>
      </x:c>
      <x:c r="H9" s="404" t="str">
        <x:v>Análisis, reportajes, investigaciones y debate</x:v>
      </x:c>
      <x:c r="I9" s="308" t="str">
        <x:v>Organización sin fines de lucro; financiación filantrópica declarada</x:v>
      </x:c>
      <x:c r="J9" s="308" t="str">
        <x:v>ONG / editorialmente independiente</x:v>
      </x:c>
      <x:c r="K9" s="308" t="str">
        <x:v>Plural; énfasis en voces africanas</x:v>
      </x:c>
      <x:c r="L9" s="308" t="str">
        <x:v>Pan-africana / académica y periodística</x:v>
      </x:c>
      <x:c r="M9" s="309" t="n">
        <x:v>4</x:v>
      </x:c>
      <x:c r="N9" s="309" t="n">
        <x:v>4</x:v>
      </x:c>
      <x:c r="O9" s="309" t="n">
        <x:v>5</x:v>
      </x:c>
      <x:c r="P9" s="309" t="n">
        <x:v>4</x:v>
      </x:c>
      <x:c r="Q9" s="309" t="n">
        <x:v>4</x:v>
      </x:c>
      <x:c r="R9" s="309" t="n">
        <x:v>4</x:v>
      </x:c>
      <x:c r="S9" s="311" t="n">
        <x:v>4.2</x:v>
      </x:c>
      <x:c r="T9" s="309" t="str">
        <x:v>Media-alta</x:v>
      </x:c>
      <x:c r="U9" s="308" t="str">
        <x:v>Análisis profundo, debates y perspectivas africanas</x:v>
      </x:c>
      <x:c r="V9" s="308" t="str">
        <x:v>Moderada</x:v>
      </x:c>
      <x:c r="W9" s="308" t="str">
        <x:v>Datos primarios, prensa local y autores con enfoques distintos</x:v>
      </x:c>
      <x:c r="X9" s="308" t="str">
        <x:v>Nuevo recomendado</x:v>
      </x:c>
      <x:c r="Y9" s="308" t="str">
        <x:v>Prioriza autores africanos y declara independencia editorial respecto de las instituciones anfitrionas.</x:v>
      </x:c>
      <x:c r="Z9" s="308" t="str">
        <x:v>https://africanarguments.org/about-us-2026/</x:v>
      </x:c>
      <x:c r="AA9" s="310" t="n">
        <x:v>46219</x:v>
      </x:c>
    </x:row>
    <x:row r="10">
      <x:c r="A10" s="309" t="n">
        <x:v>60</x:v>
      </x:c>
      <x:c r="B10" s="312" t="str">
        <x:v>U.S. CENTCOM</x:v>
      </x:c>
      <x:c r="C10" s="313" t="str">
        <x:v>https://www.centcom.mil/</x:v>
      </x:c>
      <x:c r="D10" s="308" t="str">
        <x:v>Estados Unidos; área de responsabilidad regional</x:v>
      </x:c>
      <x:c r="E10" s="308" t="str">
        <x:v>Medio Oriente/Asia Central</x:v>
      </x:c>
      <x:c r="F10" s="308" t="str">
        <x:v>Inglés</x:v>
      </x:c>
      <x:c r="G10" s="308" t="str">
        <x:v>Comando militar</x:v>
      </x:c>
      <x:c r="H10" s="404" t="str">
        <x:v>Comunicados y posición operativa oficial</x:v>
      </x:c>
      <x:c r="I10" s="308" t="str">
        <x:v>Gobierno de Estados Unidos</x:v>
      </x:c>
      <x:c r="J10" s="308" t="str">
        <x:v>Oficial / parte interesada</x:v>
      </x:c>
      <x:c r="K10" s="308" t="str">
        <x:v>Línea oficial militar</x:v>
      </x:c>
      <x:c r="L10" s="308" t="str">
        <x:v>Estadounidense / militar</x:v>
      </x:c>
      <x:c r="M10" s="309" t="n">
        <x:v>3</x:v>
      </x:c>
      <x:c r="N10" s="309" t="n">
        <x:v>1</x:v>
      </x:c>
      <x:c r="O10" s="309" t="n">
        <x:v>5</x:v>
      </x:c>
      <x:c r="P10" s="309" t="n">
        <x:v>3</x:v>
      </x:c>
      <x:c r="Q10" s="309" t="n">
        <x:v>3</x:v>
      </x:c>
      <x:c r="R10" s="309" t="n">
        <x:v>4</x:v>
      </x:c>
      <x:c r="S10" s="311" t="n">
        <x:v>3.2</x:v>
      </x:c>
      <x:c r="T10" s="309" t="str">
        <x:v>Media</x:v>
      </x:c>
      <x:c r="U10" s="308" t="str">
        <x:v>Declaraciones oficiales y cronología militar estadounidense</x:v>
      </x:c>
      <x:c r="V10" s="308" t="str">
        <x:v>Obligatoria</x:v>
      </x:c>
      <x:c r="W10" s="308" t="str">
        <x:v>Prensa independiente, imágenes, ONU y contraparte local</x:v>
      </x:c>
      <x:c r="X10" s="308" t="str">
        <x:v>Uso condicionado</x:v>
      </x:c>
      <x:c r="Y10" s="308" t="str">
        <x:v>Fuente primaria, no verificación independiente.</x:v>
      </x:c>
      <x:c r="Z10" s="308" t="str">
        <x:v>https://www.centcom.mil/</x:v>
      </x:c>
      <x:c r="AA10" s="310" t="n">
        <x:v>46219</x:v>
      </x:c>
    </x:row>
    <x:row r="11">
      <x:c r="A11" s="309" t="n">
        <x:v>13</x:v>
      </x:c>
      <x:c r="B11" s="312" t="str">
        <x:v>Agence France-Presse (AFP)</x:v>
      </x:c>
      <x:c r="C11" s="313" t="str">
        <x:v>https://www.afp.com/</x:v>
      </x:c>
      <x:c r="D11" s="308" t="str">
        <x:v>Francia; red global</x:v>
      </x:c>
      <x:c r="E11" s="308" t="str">
        <x:v>Global</x:v>
      </x:c>
      <x:c r="F11" s="308" t="str">
        <x:v>Multilingüe</x:v>
      </x:c>
      <x:c r="G11" s="308" t="str">
        <x:v>Agencia de noticias</x:v>
      </x:c>
      <x:c r="H11" s="404" t="str">
        <x:v>Confirmación factual y noticias urgentes</x:v>
      </x:c>
      <x:c r="I11" s="308" t="str">
        <x:v>Agencia internacional con estatuto propio</x:v>
      </x:c>
      <x:c r="J11" s="308" t="str">
        <x:v>Institucional</x:v>
      </x:c>
      <x:c r="K11" s="308" t="str">
        <x:v>Centro / baja carga editorial</x:v>
      </x:c>
      <x:c r="L11" s="308" t="str">
        <x:v>Global / francesa</x:v>
      </x:c>
      <x:c r="M11" s="309" t="n">
        <x:v>5</x:v>
      </x:c>
      <x:c r="N11" s="309" t="n">
        <x:v>5</x:v>
      </x:c>
      <x:c r="O11" s="309" t="n">
        <x:v>5</x:v>
      </x:c>
      <x:c r="P11" s="309" t="n">
        <x:v>5</x:v>
      </x:c>
      <x:c r="Q11" s="309" t="n">
        <x:v>5</x:v>
      </x:c>
      <x:c r="R11" s="309" t="n">
        <x:v>5</x:v>
      </x:c>
      <x:c r="S11" s="311" t="n">
        <x:v>5</x:v>
      </x:c>
      <x:c r="T11" s="309" t="str">
        <x:v>Alta</x:v>
      </x:c>
      <x:c r="U11" s="308" t="str">
        <x:v>Fuente base para hechos y verificación visual</x:v>
      </x:c>
      <x:c r="V11" s="308" t="str">
        <x:v>Baja</x:v>
      </x:c>
      <x:c r="W11" s="308" t="str">
        <x:v>Reuters/AP y fuentes primarias</x:v>
      </x:c>
      <x:c r="X11" s="308" t="str">
        <x:v>Nuevo recomendado</x:v>
      </x:c>
      <x:c r="Y11" s="308"/>
      <x:c r="Z11" s="308" t="str">
        <x:v>https://www.afp.com/</x:v>
      </x:c>
      <x:c r="AA11" s="310" t="n">
        <x:v>46219</x:v>
      </x:c>
    </x:row>
    <x:row r="12">
      <x:c r="A12" s="309" t="n">
        <x:v>12</x:v>
      </x:c>
      <x:c r="B12" s="312" t="str">
        <x:v>Associated Press (AP)</x:v>
      </x:c>
      <x:c r="C12" s="313" t="str">
        <x:v>https://apnews.com/</x:v>
      </x:c>
      <x:c r="D12" s="308" t="str">
        <x:v>Estados Unidos; red global</x:v>
      </x:c>
      <x:c r="E12" s="308" t="str">
        <x:v>Global</x:v>
      </x:c>
      <x:c r="F12" s="308" t="str">
        <x:v>Inglés</x:v>
      </x:c>
      <x:c r="G12" s="308" t="str">
        <x:v>Agencia de noticias</x:v>
      </x:c>
      <x:c r="H12" s="404" t="str">
        <x:v>Confirmación factual y noticias urgentes</x:v>
      </x:c>
      <x:c r="I12" s="308" t="str">
        <x:v>Cooperativa sin fines de lucro</x:v>
      </x:c>
      <x:c r="J12" s="308" t="str">
        <x:v>Cooperativo</x:v>
      </x:c>
      <x:c r="K12" s="308" t="str">
        <x:v>Centro / baja carga editorial</x:v>
      </x:c>
      <x:c r="L12" s="308" t="str">
        <x:v>Global</x:v>
      </x:c>
      <x:c r="M12" s="309" t="n">
        <x:v>5</x:v>
      </x:c>
      <x:c r="N12" s="309" t="n">
        <x:v>5</x:v>
      </x:c>
      <x:c r="O12" s="309" t="n">
        <x:v>5</x:v>
      </x:c>
      <x:c r="P12" s="309" t="n">
        <x:v>5</x:v>
      </x:c>
      <x:c r="Q12" s="309" t="n">
        <x:v>5</x:v>
      </x:c>
      <x:c r="R12" s="309" t="n">
        <x:v>5</x:v>
      </x:c>
      <x:c r="S12" s="311" t="n">
        <x:v>5</x:v>
      </x:c>
      <x:c r="T12" s="309" t="str">
        <x:v>Alta</x:v>
      </x:c>
      <x:c r="U12" s="308" t="str">
        <x:v>Fuente base para hechos y noticias urgentes</x:v>
      </x:c>
      <x:c r="V12" s="308" t="str">
        <x:v>Baja</x:v>
      </x:c>
      <x:c r="W12" s="308" t="str">
        <x:v>Reuters/AFP y fuentes primarias</x:v>
      </x:c>
      <x:c r="X12" s="308" t="str">
        <x:v>Nuevo recomendado</x:v>
      </x:c>
      <x:c r="Y12" s="308"/>
      <x:c r="Z12" s="308" t="str">
        <x:v>https://apnews.com/</x:v>
      </x:c>
      <x:c r="AA12" s="310" t="n">
        <x:v>46219</x:v>
      </x:c>
    </x:row>
    <x:row r="13">
      <x:c r="A13" s="309" t="n">
        <x:v>8</x:v>
      </x:c>
      <x:c r="B13" s="312" t="str">
        <x:v>Reuters</x:v>
      </x:c>
      <x:c r="C13" s="313" t="str">
        <x:v>https://www.reuters.com/</x:v>
      </x:c>
      <x:c r="D13" s="308" t="str">
        <x:v>Reino Unido; red global</x:v>
      </x:c>
      <x:c r="E13" s="308" t="str">
        <x:v>Global</x:v>
      </x:c>
      <x:c r="F13" s="308" t="str">
        <x:v>Multilingüe</x:v>
      </x:c>
      <x:c r="G13" s="308" t="str">
        <x:v>Agencia de noticias</x:v>
      </x:c>
      <x:c r="H13" s="404" t="str">
        <x:v>Confirmación factual y noticias urgentes</x:v>
      </x:c>
      <x:c r="I13" s="308" t="str">
        <x:v>Privado comercial</x:v>
      </x:c>
      <x:c r="J13" s="308" t="str">
        <x:v>Privado</x:v>
      </x:c>
      <x:c r="K13" s="308" t="str">
        <x:v>Centro / baja carga editorial</x:v>
      </x:c>
      <x:c r="L13" s="308" t="str">
        <x:v>Global / mercados</x:v>
      </x:c>
      <x:c r="M13" s="309" t="n">
        <x:v>5</x:v>
      </x:c>
      <x:c r="N13" s="309" t="n">
        <x:v>5</x:v>
      </x:c>
      <x:c r="O13" s="309" t="n">
        <x:v>5</x:v>
      </x:c>
      <x:c r="P13" s="309" t="n">
        <x:v>5</x:v>
      </x:c>
      <x:c r="Q13" s="309" t="n">
        <x:v>5</x:v>
      </x:c>
      <x:c r="R13" s="309" t="n">
        <x:v>5</x:v>
      </x:c>
      <x:c r="S13" s="311" t="n">
        <x:v>5</x:v>
      </x:c>
      <x:c r="T13" s="309" t="str">
        <x:v>Alta</x:v>
      </x:c>
      <x:c r="U13" s="308" t="str">
        <x:v>Fuente base para hechos y noticias urgentes</x:v>
      </x:c>
      <x:c r="V13" s="308" t="str">
        <x:v>Baja</x:v>
      </x:c>
      <x:c r="W13" s="308" t="str">
        <x:v>AP/AFP y fuentes primarias cuando el asunto sea crítico</x:v>
      </x:c>
      <x:c r="X13" s="308" t="str">
        <x:v>Activo</x:v>
      </x:c>
      <x:c r="Y13" s="308" t="str">
        <x:v>Referencia principal de la matriz para confirmación factual.</x:v>
      </x:c>
      <x:c r="Z13" s="308" t="str">
        <x:v>https://www.thomsonreuters.com/en/about-us/trust-principles.html</x:v>
      </x:c>
      <x:c r="AA13" s="310" t="n">
        <x:v>46219</x:v>
      </x:c>
    </x:row>
    <x:row r="14">
      <x:c r="A14" s="309" t="n">
        <x:v>83</x:v>
      </x:c>
      <x:c r="B14" s="312" t="str">
        <x:v>HumAngle</x:v>
      </x:c>
      <x:c r="C14" s="313" t="str">
        <x:v>https://humanglemedia.com/</x:v>
      </x:c>
      <x:c r="D14" s="308" t="str">
        <x:v>Nigeria; cobertura del Sahel y cuenca del lago Chad</x:v>
      </x:c>
      <x:c r="E14" s="308" t="str">
        <x:v>África Occidental / Sahel</x:v>
      </x:c>
      <x:c r="F14" s="308" t="str">
        <x:v>Inglés</x:v>
      </x:c>
      <x:c r="G14" s="308" t="str">
        <x:v>Medio especializado</x:v>
      </x:c>
      <x:c r="H14" s="404" t="str">
        <x:v>Conflictos, crisis humanitarias, derechos humanos y desarrollo</x:v>
      </x:c>
      <x:c r="I14" s="308" t="str">
        <x:v>Organización periodística especializada; donaciones y proyectos</x:v>
      </x:c>
      <x:c r="J14" s="308" t="str">
        <x:v>Independiente</x:v>
      </x:c>
      <x:c r="K14" s="308" t="str">
        <x:v>Humanitaria / seguridad humana</x:v>
      </x:c>
      <x:c r="L14" s="308" t="str">
        <x:v>África Occidental / Sahel</x:v>
      </x:c>
      <x:c r="M14" s="309" t="n">
        <x:v>4</x:v>
      </x:c>
      <x:c r="N14" s="309" t="n">
        <x:v>4</x:v>
      </x:c>
      <x:c r="O14" s="309" t="n">
        <x:v>4</x:v>
      </x:c>
      <x:c r="P14" s="309" t="n">
        <x:v>4</x:v>
      </x:c>
      <x:c r="Q14" s="309" t="n">
        <x:v>3</x:v>
      </x:c>
      <x:c r="R14" s="309" t="n">
        <x:v>4</x:v>
      </x:c>
      <x:c r="S14" s="311" t="n">
        <x:v>3.8</x:v>
      </x:c>
      <x:c r="T14" s="309" t="str">
        <x:v>Media-alta</x:v>
      </x:c>
      <x:c r="U14" s="308" t="str">
        <x:v>Insurgencias, desplazamiento, violencia y comunidades subcubiertas</x:v>
      </x:c>
      <x:c r="V14" s="308" t="str">
        <x:v>Alta</x:v>
      </x:c>
      <x:c r="W14" s="308" t="str">
        <x:v>ACLED, ONU, agencias, autoridades locales y evidencia geolocalizada</x:v>
      </x:c>
      <x:c r="X14" s="308" t="str">
        <x:v>Nuevo recomendado</x:v>
      </x:c>
      <x:c r="Y14" s="308" t="str">
        <x:v>Especializado en conflictos y crisis humanitarias; distinguir testimonios, estimaciones y hechos verificados.</x:v>
      </x:c>
      <x:c r="Z14" s="308" t="str">
        <x:v>https://humanglemedia.com/about-us/</x:v>
      </x:c>
      <x:c r="AA14" s="310" t="n">
        <x:v>46219</x:v>
      </x:c>
    </x:row>
    <x:row r="15">
      <x:c r="A15" s="309" t="n">
        <x:v>43</x:v>
      </x:c>
      <x:c r="B15" s="312" t="str">
        <x:v>SIPRI</x:v>
      </x:c>
      <x:c r="C15" s="313" t="str">
        <x:v>https://www.sipri.org/</x:v>
      </x:c>
      <x:c r="D15" s="308" t="str">
        <x:v>Suecia; alcance global</x:v>
      </x:c>
      <x:c r="E15" s="308" t="str">
        <x:v>Global</x:v>
      </x:c>
      <x:c r="F15" s="308" t="str">
        <x:v>Inglés</x:v>
      </x:c>
      <x:c r="G15" s="308" t="str">
        <x:v>Instituto de investigación</x:v>
      </x:c>
      <x:c r="H15" s="404" t="str">
        <x:v>Datos de armamentos, gasto militar y paz</x:v>
      </x:c>
      <x:c r="I15" s="308" t="str">
        <x:v>Instituto internacional independiente</x:v>
      </x:c>
      <x:c r="J15" s="308" t="str">
        <x:v>ONG/academia</x:v>
      </x:c>
      <x:c r="K15" s="308" t="str">
        <x:v>Centrista / paz y seguridad</x:v>
      </x:c>
      <x:c r="L15" s="308" t="str">
        <x:v>Nórdica / multilateral</x:v>
      </x:c>
      <x:c r="M15" s="309" t="n">
        <x:v>5</x:v>
      </x:c>
      <x:c r="N15" s="309" t="n">
        <x:v>5</x:v>
      </x:c>
      <x:c r="O15" s="309" t="n">
        <x:v>5</x:v>
      </x:c>
      <x:c r="P15" s="309" t="n">
        <x:v>5</x:v>
      </x:c>
      <x:c r="Q15" s="309" t="n">
        <x:v>4</x:v>
      </x:c>
      <x:c r="R15" s="309" t="n">
        <x:v>5</x:v>
      </x:c>
      <x:c r="S15" s="311" t="n">
        <x:v>4.8</x:v>
      </x:c>
      <x:c r="T15" s="309" t="str">
        <x:v>Alta</x:v>
      </x:c>
      <x:c r="U15" s="308" t="str">
        <x:v>Datos de gasto militar, armas y transferencias</x:v>
      </x:c>
      <x:c r="V15" s="308" t="str">
        <x:v>Baja</x:v>
      </x:c>
      <x:c r="W15" s="308" t="str">
        <x:v>Fuentes nacionales e IISS</x:v>
      </x:c>
      <x:c r="X15" s="308" t="str">
        <x:v>Nuevo recomendado</x:v>
      </x:c>
      <x:c r="Y15" s="308"/>
      <x:c r="Z15" s="308" t="str">
        <x:v>https://www.sipri.org/</x:v>
      </x:c>
      <x:c r="AA15" s="310" t="n">
        <x:v>46219</x:v>
      </x:c>
    </x:row>
    <x:row r="16">
      <x:c r="A16" s="309" t="n">
        <x:v>68</x:v>
      </x:c>
      <x:c r="B16" s="312" t="str">
        <x:v>ACLED</x:v>
      </x:c>
      <x:c r="C16" s="313" t="str">
        <x:v>https://acleddata.com/</x:v>
      </x:c>
      <x:c r="D16" s="308" t="str">
        <x:v>Organización internacional de datos</x:v>
      </x:c>
      <x:c r="E16" s="308" t="str">
        <x:v>Global</x:v>
      </x:c>
      <x:c r="F16" s="308" t="str">
        <x:v>Inglés</x:v>
      </x:c>
      <x:c r="G16" s="308" t="str">
        <x:v>Base de datos de conflictos</x:v>
      </x:c>
      <x:c r="H16" s="404" t="str">
        <x:v>Datos estructurados sobre violencia política</x:v>
      </x:c>
      <x:c r="I16" s="308" t="str">
        <x:v>Organización independiente</x:v>
      </x:c>
      <x:c r="J16" s="308" t="str">
        <x:v>ONG/datos</x:v>
      </x:c>
      <x:c r="K16" s="308" t="str">
        <x:v>Metodológica</x:v>
      </x:c>
      <x:c r="L16" s="308" t="str">
        <x:v>Global / conflicto</x:v>
      </x:c>
      <x:c r="M16" s="309" t="n">
        <x:v>5</x:v>
      </x:c>
      <x:c r="N16" s="309" t="n">
        <x:v>5</x:v>
      </x:c>
      <x:c r="O16" s="309" t="n">
        <x:v>5</x:v>
      </x:c>
      <x:c r="P16" s="309" t="n">
        <x:v>5</x:v>
      </x:c>
      <x:c r="Q16" s="309" t="n">
        <x:v>4</x:v>
      </x:c>
      <x:c r="R16" s="309" t="n">
        <x:v>5</x:v>
      </x:c>
      <x:c r="S16" s="311" t="n">
        <x:v>4.8</x:v>
      </x:c>
      <x:c r="T16" s="309" t="str">
        <x:v>Alta</x:v>
      </x:c>
      <x:c r="U16" s="308" t="str">
        <x:v>Datos de eventos, tendencias y mapas de conflicto</x:v>
      </x:c>
      <x:c r="V16" s="308" t="str">
        <x:v>Moderada</x:v>
      </x:c>
      <x:c r="W16" s="308" t="str">
        <x:v>ONU, prensa local y otras bases de datos</x:v>
      </x:c>
      <x:c r="X16" s="308" t="str">
        <x:v>Nuevo recomendado</x:v>
      </x:c>
      <x:c r="Y16" s="308"/>
      <x:c r="Z16" s="308" t="str">
        <x:v>https://acleddata.com/</x:v>
      </x:c>
      <x:c r="AA16" s="310" t="n">
        <x:v>46219</x:v>
      </x:c>
    </x:row>
    <x:row r="17">
      <x:c r="A17" s="309" t="n">
        <x:v>56</x:v>
      </x:c>
      <x:c r="B17" s="312" t="str">
        <x:v>U.S. Energy Information Administration (EIA)</x:v>
      </x:c>
      <x:c r="C17" s="313" t="str">
        <x:v>https://www.eia.gov/</x:v>
      </x:c>
      <x:c r="D17" s="308" t="str">
        <x:v>Estados Unidos; alcance estadístico global</x:v>
      </x:c>
      <x:c r="E17" s="308" t="str">
        <x:v>Global</x:v>
      </x:c>
      <x:c r="F17" s="308" t="str">
        <x:v>Inglés</x:v>
      </x:c>
      <x:c r="G17" s="308" t="str">
        <x:v>Agencia gubernamental</x:v>
      </x:c>
      <x:c r="H17" s="404" t="str">
        <x:v>Datos y análisis energéticos</x:v>
      </x:c>
      <x:c r="I17" s="308" t="str">
        <x:v>Gobierno de Estados Unidos</x:v>
      </x:c>
      <x:c r="J17" s="308" t="str">
        <x:v>Oficial</x:v>
      </x:c>
      <x:c r="K17" s="308" t="str">
        <x:v>Técnica</x:v>
      </x:c>
      <x:c r="L17" s="308" t="str">
        <x:v>Estadounidense / energética</x:v>
      </x:c>
      <x:c r="M17" s="309" t="n">
        <x:v>5</x:v>
      </x:c>
      <x:c r="N17" s="309" t="n">
        <x:v>4</x:v>
      </x:c>
      <x:c r="O17" s="309" t="n">
        <x:v>5</x:v>
      </x:c>
      <x:c r="P17" s="309" t="n">
        <x:v>5</x:v>
      </x:c>
      <x:c r="Q17" s="309" t="n">
        <x:v>5</x:v>
      </x:c>
      <x:c r="R17" s="309" t="n">
        <x:v>5</x:v>
      </x:c>
      <x:c r="S17" s="311" t="n">
        <x:v>4.8</x:v>
      </x:c>
      <x:c r="T17" s="309" t="str">
        <x:v>Alta</x:v>
      </x:c>
      <x:c r="U17" s="308" t="str">
        <x:v>Datos de energía, petróleo y gas</x:v>
      </x:c>
      <x:c r="V17" s="308" t="str">
        <x:v>Baja</x:v>
      </x:c>
      <x:c r="W17" s="308" t="str">
        <x:v>AIE, OPEP y estadísticas nacionales</x:v>
      </x:c>
      <x:c r="X17" s="308" t="str">
        <x:v>Activo</x:v>
      </x:c>
      <x:c r="Y17" s="308"/>
      <x:c r="Z17" s="308" t="str">
        <x:v>https://www.eia.gov/</x:v>
      </x:c>
      <x:c r="AA17" s="310" t="n">
        <x:v>46219</x:v>
      </x:c>
    </x:row>
    <x:row r="18">
      <x:c r="A18" s="309" t="n">
        <x:v>59</x:v>
      </x:c>
      <x:c r="B18" s="312" t="str">
        <x:v>UNESCO</x:v>
      </x:c>
      <x:c r="C18" s="313" t="str">
        <x:v>https://www.unesco.org/</x:v>
      </x:c>
      <x:c r="D18" s="308" t="str">
        <x:v>Organización internacional; sede en París</x:v>
      </x:c>
      <x:c r="E18" s="308" t="str">
        <x:v>Global</x:v>
      </x:c>
      <x:c r="F18" s="308" t="str">
        <x:v>Multilingüe</x:v>
      </x:c>
      <x:c r="G18" s="308" t="str">
        <x:v>Organismo internacional</x:v>
      </x:c>
      <x:c r="H18" s="404" t="str">
        <x:v>Datos, normas y programas</x:v>
      </x:c>
      <x:c r="I18" s="308" t="str">
        <x:v>Estados miembros</x:v>
      </x:c>
      <x:c r="J18" s="308" t="str">
        <x:v>Internacional</x:v>
      </x:c>
      <x:c r="K18" s="308" t="str">
        <x:v>Multilateral</x:v>
      </x:c>
      <x:c r="L18" s="308" t="str">
        <x:v>Educación, ciencia y cultura</x:v>
      </x:c>
      <x:c r="M18" s="309" t="n">
        <x:v>4</x:v>
      </x:c>
      <x:c r="N18" s="309" t="n">
        <x:v>4</x:v>
      </x:c>
      <x:c r="O18" s="309" t="n">
        <x:v>5</x:v>
      </x:c>
      <x:c r="P18" s="309" t="n">
        <x:v>4</x:v>
      </x:c>
      <x:c r="Q18" s="309" t="n">
        <x:v>4</x:v>
      </x:c>
      <x:c r="R18" s="309" t="n">
        <x:v>5</x:v>
      </x:c>
      <x:c r="S18" s="311" t="n">
        <x:v>4.3</x:v>
      </x:c>
      <x:c r="T18" s="309" t="str">
        <x:v>Alta</x:v>
      </x:c>
      <x:c r="U18" s="308" t="str">
        <x:v>Datos institucionales, patrimonio y libertad de expresión</x:v>
      </x:c>
      <x:c r="V18" s="308" t="str">
        <x:v>Moderada</x:v>
      </x:c>
      <x:c r="W18" s="308" t="str">
        <x:v>Estadísticas nacionales y fuentes académicas</x:v>
      </x:c>
      <x:c r="X18" s="308" t="str">
        <x:v>Activo</x:v>
      </x:c>
      <x:c r="Y18" s="308"/>
      <x:c r="Z18" s="308" t="str">
        <x:v>https://www.unesco.org/</x:v>
      </x:c>
      <x:c r="AA18" s="310" t="n">
        <x:v>46219</x:v>
      </x:c>
    </x:row>
    <x:row r="19">
      <x:c r="A19" s="309" t="n">
        <x:v>36</x:v>
      </x:c>
      <x:c r="B19" s="312" t="str">
        <x:v>IISS</x:v>
      </x:c>
      <x:c r="C19" s="313" t="str">
        <x:v>https://www.iiss.org/</x:v>
      </x:c>
      <x:c r="D19" s="308" t="str">
        <x:v>Reino Unido; alcance global</x:v>
      </x:c>
      <x:c r="E19" s="308" t="str">
        <x:v>Global</x:v>
      </x:c>
      <x:c r="F19" s="308" t="str">
        <x:v>Inglés</x:v>
      </x:c>
      <x:c r="G19" s="308" t="str">
        <x:v>Think tank</x:v>
      </x:c>
      <x:c r="H19" s="404" t="str">
        <x:v>Defensa, seguridad y equilibrio militar</x:v>
      </x:c>
      <x:c r="I19" s="308" t="str">
        <x:v>Organización sin fines de lucro</x:v>
      </x:c>
      <x:c r="J19" s="308" t="str">
        <x:v>ONG/think tank</x:v>
      </x:c>
      <x:c r="K19" s="308" t="str">
        <x:v>Centrista / seguridad nacional</x:v>
      </x:c>
      <x:c r="L19" s="308" t="str">
        <x:v>Transatlántica</x:v>
      </x:c>
      <x:c r="M19" s="309" t="n">
        <x:v>5</x:v>
      </x:c>
      <x:c r="N19" s="309" t="n">
        <x:v>4</x:v>
      </x:c>
      <x:c r="O19" s="309" t="n">
        <x:v>5</x:v>
      </x:c>
      <x:c r="P19" s="309" t="n">
        <x:v>5</x:v>
      </x:c>
      <x:c r="Q19" s="309" t="n">
        <x:v>4</x:v>
      </x:c>
      <x:c r="R19" s="309" t="n">
        <x:v>5</x:v>
      </x:c>
      <x:c r="S19" s="311" t="n">
        <x:v>4.7</x:v>
      </x:c>
      <x:c r="T19" s="309" t="str">
        <x:v>Alta</x:v>
      </x:c>
      <x:c r="U19" s="308" t="str">
        <x:v>Defensa, capacidades militares y estrategia</x:v>
      </x:c>
      <x:c r="V19" s="308" t="str">
        <x:v>Moderada</x:v>
      </x:c>
      <x:c r="W19" s="308" t="str">
        <x:v>SIPRI, presupuestos y fuentes militares contrapuestas</x:v>
      </x:c>
      <x:c r="X19" s="308" t="str">
        <x:v>Activo</x:v>
      </x:c>
      <x:c r="Y19" s="308"/>
      <x:c r="Z19" s="308" t="str">
        <x:v>https://www.iiss.org/</x:v>
      </x:c>
      <x:c r="AA19" s="310" t="n">
        <x:v>46219</x:v>
      </x:c>
    </x:row>
    <x:row r="20">
      <x:c r="A20" s="309" t="n">
        <x:v>40</x:v>
      </x:c>
      <x:c r="B20" s="312" t="str">
        <x:v>RUSI</x:v>
      </x:c>
      <x:c r="C20" s="313" t="str">
        <x:v>https://www.rusi.org/</x:v>
      </x:c>
      <x:c r="D20" s="308" t="str">
        <x:v>Reino Unido; alcance global</x:v>
      </x:c>
      <x:c r="E20" s="308" t="str">
        <x:v>Global</x:v>
      </x:c>
      <x:c r="F20" s="308" t="str">
        <x:v>Inglés</x:v>
      </x:c>
      <x:c r="G20" s="308" t="str">
        <x:v>Think tank</x:v>
      </x:c>
      <x:c r="H20" s="404" t="str">
        <x:v>Defensa, seguridad y tecnología</x:v>
      </x:c>
      <x:c r="I20" s="308" t="str">
        <x:v>Organización benéfica independiente</x:v>
      </x:c>
      <x:c r="J20" s="308" t="str">
        <x:v>ONG/think tank</x:v>
      </x:c>
      <x:c r="K20" s="308" t="str">
        <x:v>Centrista / seguridad nacional</x:v>
      </x:c>
      <x:c r="L20" s="308" t="str">
        <x:v>Británica / transatlántica</x:v>
      </x:c>
      <x:c r="M20" s="309" t="n">
        <x:v>5</x:v>
      </x:c>
      <x:c r="N20" s="309" t="n">
        <x:v>4</x:v>
      </x:c>
      <x:c r="O20" s="309" t="n">
        <x:v>5</x:v>
      </x:c>
      <x:c r="P20" s="309" t="n">
        <x:v>5</x:v>
      </x:c>
      <x:c r="Q20" s="309" t="n">
        <x:v>4</x:v>
      </x:c>
      <x:c r="R20" s="309" t="n">
        <x:v>5</x:v>
      </x:c>
      <x:c r="S20" s="311" t="n">
        <x:v>4.7</x:v>
      </x:c>
      <x:c r="T20" s="309" t="str">
        <x:v>Alta</x:v>
      </x:c>
      <x:c r="U20" s="308" t="str">
        <x:v>Defensa, inteligencia y guerra tecnológica</x:v>
      </x:c>
      <x:c r="V20" s="308" t="str">
        <x:v>Moderada</x:v>
      </x:c>
      <x:c r="W20" s="308" t="str">
        <x:v>IISS, SIPRI y fuentes primarias</x:v>
      </x:c>
      <x:c r="X20" s="308" t="str">
        <x:v>Activo</x:v>
      </x:c>
      <x:c r="Y20" s="308"/>
      <x:c r="Z20" s="308" t="str">
        <x:v>https://www.rusi.org/</x:v>
      </x:c>
      <x:c r="AA20" s="310" t="n">
        <x:v>46219</x:v>
      </x:c>
    </x:row>
    <x:row r="21">
      <x:c r="A21" s="309" t="n">
        <x:v>61</x:v>
      </x:c>
      <x:c r="B21" s="312" t="str">
        <x:v>ICRC / CICR</x:v>
      </x:c>
      <x:c r="C21" s="313" t="str">
        <x:v>https://www.icrc.org/</x:v>
      </x:c>
      <x:c r="D21" s="308" t="str">
        <x:v>Organización internacional humanitaria; sede en Ginebra</x:v>
      </x:c>
      <x:c r="E21" s="308" t="str">
        <x:v>Global</x:v>
      </x:c>
      <x:c r="F21" s="308" t="str">
        <x:v>Multilingüe</x:v>
      </x:c>
      <x:c r="G21" s="308" t="str">
        <x:v>Organización humanitaria</x:v>
      </x:c>
      <x:c r="H21" s="404" t="str">
        <x:v>Derecho humanitario, acceso y situación humanitaria</x:v>
      </x:c>
      <x:c r="I21" s="308" t="str">
        <x:v>Financiación multilateral y donaciones</x:v>
      </x:c>
      <x:c r="J21" s="308" t="str">
        <x:v>Internacional/ONG</x:v>
      </x:c>
      <x:c r="K21" s="308" t="str">
        <x:v>Humanitaria / neutralidad operacional</x:v>
      </x:c>
      <x:c r="L21" s="308" t="str">
        <x:v>Derecho internacional humanitario</x:v>
      </x:c>
      <x:c r="M21" s="309" t="n">
        <x:v>5</x:v>
      </x:c>
      <x:c r="N21" s="309" t="n">
        <x:v>5</x:v>
      </x:c>
      <x:c r="O21" s="309" t="n">
        <x:v>5</x:v>
      </x:c>
      <x:c r="P21" s="309" t="n">
        <x:v>5</x:v>
      </x:c>
      <x:c r="Q21" s="309" t="n">
        <x:v>4</x:v>
      </x:c>
      <x:c r="R21" s="309" t="n">
        <x:v>5</x:v>
      </x:c>
      <x:c r="S21" s="311" t="n">
        <x:v>4.8</x:v>
      </x:c>
      <x:c r="T21" s="309" t="str">
        <x:v>Alta</x:v>
      </x:c>
      <x:c r="U21" s="308" t="str">
        <x:v>Derecho humanitario y situación de civiles</x:v>
      </x:c>
      <x:c r="V21" s="308" t="str">
        <x:v>Moderada</x:v>
      </x:c>
      <x:c r="W21" s="308" t="str">
        <x:v>ONU, ONG locales y fuentes de terreno</x:v>
      </x:c>
      <x:c r="X21" s="308" t="str">
        <x:v>Nuevo recomendado</x:v>
      </x:c>
      <x:c r="Y21" s="308"/>
      <x:c r="Z21" s="308" t="str">
        <x:v>https://www.icrc.org/</x:v>
      </x:c>
      <x:c r="AA21" s="310" t="n">
        <x:v>46219</x:v>
      </x:c>
    </x:row>
    <x:row r="22">
      <x:c r="A22" s="309" t="n">
        <x:v>66</x:v>
      </x:c>
      <x:c r="B22" s="312" t="str">
        <x:v>Iran Human Rights</x:v>
      </x:c>
      <x:c r="C22" s="313" t="str">
        <x:v>https://iranhr.net/en/</x:v>
      </x:c>
      <x:c r="D22" s="308" t="str">
        <x:v>Noruega; foco en Irán</x:v>
      </x:c>
      <x:c r="E22" s="308" t="str">
        <x:v>Irán</x:v>
      </x:c>
      <x:c r="F22" s="308" t="str">
        <x:v>Persa/Inglés</x:v>
      </x:c>
      <x:c r="G22" s="308" t="str">
        <x:v>ONG de derechos humanos</x:v>
      </x:c>
      <x:c r="H22" s="404" t="str">
        <x:v>Documentación y advocacy</x:v>
      </x:c>
      <x:c r="I22" s="308" t="str">
        <x:v>Donaciones / ONG</x:v>
      </x:c>
      <x:c r="J22" s="308" t="str">
        <x:v>ONG/advocacy</x:v>
      </x:c>
      <x:c r="K22" s="308" t="str">
        <x:v>Derechos humanos / crítica del régimen</x:v>
      </x:c>
      <x:c r="L22" s="308" t="str">
        <x:v>Diáspora iraní</x:v>
      </x:c>
      <x:c r="M22" s="309" t="n">
        <x:v>4</x:v>
      </x:c>
      <x:c r="N22" s="309" t="n">
        <x:v>4</x:v>
      </x:c>
      <x:c r="O22" s="309" t="n">
        <x:v>4</x:v>
      </x:c>
      <x:c r="P22" s="309" t="n">
        <x:v>4</x:v>
      </x:c>
      <x:c r="Q22" s="309" t="n">
        <x:v>3</x:v>
      </x:c>
      <x:c r="R22" s="309" t="n">
        <x:v>4</x:v>
      </x:c>
      <x:c r="S22" s="311" t="n">
        <x:v>3.8</x:v>
      </x:c>
      <x:c r="T22" s="309" t="str">
        <x:v>Media-alta</x:v>
      </x:c>
      <x:c r="U22" s="308" t="str">
        <x:v>Ejecuciones y violaciones de derechos humanos</x:v>
      </x:c>
      <x:c r="V22" s="308" t="str">
        <x:v>Alta</x:v>
      </x:c>
      <x:c r="W22" s="308" t="str">
        <x:v>ONU, HRW, Amnistía y fuentes internas independientes</x:v>
      </x:c>
      <x:c r="X22" s="308" t="str">
        <x:v>Uso condicionado</x:v>
      </x:c>
      <x:c r="Y22" s="308"/>
      <x:c r="Z22" s="308" t="str">
        <x:v>https://iranhr.net/en/</x:v>
      </x:c>
      <x:c r="AA22" s="310" t="n">
        <x:v>46219</x:v>
      </x:c>
    </x:row>
    <x:row r="23">
      <x:c r="A23" s="309" t="n">
        <x:v>58</x:v>
      </x:c>
      <x:c r="B23" s="312" t="str">
        <x:v>United Nations (ONU)</x:v>
      </x:c>
      <x:c r="C23" s="313" t="str">
        <x:v>https://www.un.org/</x:v>
      </x:c>
      <x:c r="D23" s="308" t="str">
        <x:v>Organización internacional; sede principal en Nueva York</x:v>
      </x:c>
      <x:c r="E23" s="308" t="str">
        <x:v>Global</x:v>
      </x:c>
      <x:c r="F23" s="308" t="str">
        <x:v>Multilingüe</x:v>
      </x:c>
      <x:c r="G23" s="308" t="str">
        <x:v>Organismo internacional</x:v>
      </x:c>
      <x:c r="H23" s="404" t="str">
        <x:v>Documentos, resoluciones, datos y declaraciones</x:v>
      </x:c>
      <x:c r="I23" s="308" t="str">
        <x:v>Estados miembros</x:v>
      </x:c>
      <x:c r="J23" s="308" t="str">
        <x:v>Internacional</x:v>
      </x:c>
      <x:c r="K23" s="308" t="str">
        <x:v>Multilateral</x:v>
      </x:c>
      <x:c r="L23" s="308" t="str">
        <x:v>Sistema ONU</x:v>
      </x:c>
      <x:c r="M23" s="309" t="n">
        <x:v>4</x:v>
      </x:c>
      <x:c r="N23" s="309" t="n">
        <x:v>3</x:v>
      </x:c>
      <x:c r="O23" s="309" t="n">
        <x:v>5</x:v>
      </x:c>
      <x:c r="P23" s="309" t="n">
        <x:v>4</x:v>
      </x:c>
      <x:c r="Q23" s="309" t="n">
        <x:v>4</x:v>
      </x:c>
      <x:c r="R23" s="309" t="n">
        <x:v>5</x:v>
      </x:c>
      <x:c r="S23" s="311" t="n">
        <x:v>4.2</x:v>
      </x:c>
      <x:c r="T23" s="309" t="str">
        <x:v>Media-alta</x:v>
      </x:c>
      <x:c r="U23" s="308" t="str">
        <x:v>Resoluciones, informes y posiciones oficiales</x:v>
      </x:c>
      <x:c r="V23" s="308" t="str">
        <x:v>Moderada</x:v>
      </x:c>
      <x:c r="W23" s="308" t="str">
        <x:v>Agencias, Estados miembros y fuentes independientes</x:v>
      </x:c>
      <x:c r="X23" s="308" t="str">
        <x:v>Activo</x:v>
      </x:c>
      <x:c r="Y23" s="308" t="str">
        <x:v>Corregido: no asignar como país Estados Unidos.</x:v>
      </x:c>
      <x:c r="Z23" s="308" t="str">
        <x:v>https://www.un.org/en/about-us</x:v>
      </x:c>
      <x:c r="AA23" s="310" t="n">
        <x:v>46219</x:v>
      </x:c>
    </x:row>
    <x:row r="24">
      <x:c r="A24" s="309" t="n">
        <x:v>15</x:v>
      </x:c>
      <x:c r="B24" s="312" t="str">
        <x:v>Financial Times</x:v>
      </x:c>
      <x:c r="C24" s="313" t="str">
        <x:v>https://www.ft.com/</x:v>
      </x:c>
      <x:c r="D24" s="308" t="str">
        <x:v>Reino Unido; alcance global</x:v>
      </x:c>
      <x:c r="E24" s="308" t="str">
        <x:v>Global/Occidente</x:v>
      </x:c>
      <x:c r="F24" s="308" t="str">
        <x:v>Inglés</x:v>
      </x:c>
      <x:c r="G24" s="308" t="str">
        <x:v>Medio financiero</x:v>
      </x:c>
      <x:c r="H24" s="404" t="str">
        <x:v>Economía, empresas y geopolítica</x:v>
      </x:c>
      <x:c r="I24" s="308" t="str">
        <x:v>Privado comercial</x:v>
      </x:c>
      <x:c r="J24" s="308" t="str">
        <x:v>Privado</x:v>
      </x:c>
      <x:c r="K24" s="308" t="str">
        <x:v>Centro liberal</x:v>
      </x:c>
      <x:c r="L24" s="308" t="str">
        <x:v>Global / promercado / europeísta</x:v>
      </x:c>
      <x:c r="M24" s="309" t="n">
        <x:v>5</x:v>
      </x:c>
      <x:c r="N24" s="309" t="n">
        <x:v>4</x:v>
      </x:c>
      <x:c r="O24" s="309" t="n">
        <x:v>4</x:v>
      </x:c>
      <x:c r="P24" s="309" t="n">
        <x:v>5</x:v>
      </x:c>
      <x:c r="Q24" s="309" t="n">
        <x:v>5</x:v>
      </x:c>
      <x:c r="R24" s="309" t="n">
        <x:v>4</x:v>
      </x:c>
      <x:c r="S24" s="311" t="n">
        <x:v>4.5</x:v>
      </x:c>
      <x:c r="T24" s="309" t="str">
        <x:v>Alta</x:v>
      </x:c>
      <x:c r="U24" s="308" t="str">
        <x:v>Geoeconomía, comercio y estrategia empresarial</x:v>
      </x:c>
      <x:c r="V24" s="308" t="str">
        <x:v>Moderada</x:v>
      </x:c>
      <x:c r="W24" s="308" t="str">
        <x:v>Reuters, Bloomberg y documentos oficiales</x:v>
      </x:c>
      <x:c r="X24" s="308" t="str">
        <x:v>Nuevo recomendado</x:v>
      </x:c>
      <x:c r="Y24" s="308"/>
      <x:c r="Z24" s="308" t="str">
        <x:v>https://www.ft.com/</x:v>
      </x:c>
      <x:c r="AA24" s="310" t="n">
        <x:v>46219</x:v>
      </x:c>
    </x:row>
    <x:row r="25">
      <x:c r="A25" s="309" t="n">
        <x:v>52</x:v>
      </x:c>
      <x:c r="B25" s="312" t="str">
        <x:v>Caixin Global</x:v>
      </x:c>
      <x:c r="C25" s="313" t="str">
        <x:v>https://www.caixinglobal.com/</x:v>
      </x:c>
      <x:c r="D25" s="308" t="str">
        <x:v>China</x:v>
      </x:c>
      <x:c r="E25" s="308" t="str">
        <x:v>Asia</x:v>
      </x:c>
      <x:c r="F25" s="308" t="str">
        <x:v>Inglés/Chino</x:v>
      </x:c>
      <x:c r="G25" s="308" t="str">
        <x:v>Medio económico</x:v>
      </x:c>
      <x:c r="H25" s="404" t="str">
        <x:v>Economía, finanzas e investigación</x:v>
      </x:c>
      <x:c r="I25" s="308" t="str">
        <x:v>Privado/comercial bajo entorno regulado</x:v>
      </x:c>
      <x:c r="J25" s="308" t="str">
        <x:v>Privado/regulado</x:v>
      </x:c>
      <x:c r="K25" s="308" t="str">
        <x:v>Reformista / promercado</x:v>
      </x:c>
      <x:c r="L25" s="308" t="str">
        <x:v>China económica</x:v>
      </x:c>
      <x:c r="M25" s="309" t="n">
        <x:v>4</x:v>
      </x:c>
      <x:c r="N25" s="309" t="n">
        <x:v>3</x:v>
      </x:c>
      <x:c r="O25" s="309" t="n">
        <x:v>3</x:v>
      </x:c>
      <x:c r="P25" s="309" t="n">
        <x:v>4</x:v>
      </x:c>
      <x:c r="Q25" s="309" t="n">
        <x:v>4</x:v>
      </x:c>
      <x:c r="R25" s="309" t="n">
        <x:v>4</x:v>
      </x:c>
      <x:c r="S25" s="311" t="n">
        <x:v>3.7</x:v>
      </x:c>
      <x:c r="T25" s="309" t="str">
        <x:v>Media-alta</x:v>
      </x:c>
      <x:c r="U25" s="308" t="str">
        <x:v>Economía china y empresas</x:v>
      </x:c>
      <x:c r="V25" s="308" t="str">
        <x:v>Alta en temas políticos sensibles</x:v>
      </x:c>
      <x:c r="W25" s="308" t="str">
        <x:v>Reuters, Bloomberg, Nikkei y datos oficiales</x:v>
      </x:c>
      <x:c r="X25" s="308" t="str">
        <x:v>Nuevo recomendado</x:v>
      </x:c>
      <x:c r="Y25" s="308"/>
      <x:c r="Z25" s="308" t="str">
        <x:v>https://www.caixinglobal.com/</x:v>
      </x:c>
      <x:c r="AA25" s="310" t="n">
        <x:v>46219</x:v>
      </x:c>
    </x:row>
    <x:row r="26">
      <x:c r="A26" s="309" t="n">
        <x:v>47</x:v>
      </x:c>
      <x:c r="B26" s="312" t="str">
        <x:v>Nikkei Asia</x:v>
      </x:c>
      <x:c r="C26" s="313" t="str">
        <x:v>https://asia.nikkei.com/</x:v>
      </x:c>
      <x:c r="D26" s="308" t="str">
        <x:v>Japón; alcance asiático</x:v>
      </x:c>
      <x:c r="E26" s="308" t="str">
        <x:v>Asia</x:v>
      </x:c>
      <x:c r="F26" s="308" t="str">
        <x:v>Inglés</x:v>
      </x:c>
      <x:c r="G26" s="308" t="str">
        <x:v>Medio económico regional</x:v>
      </x:c>
      <x:c r="H26" s="404" t="str">
        <x:v>Empresas, economía y geopolítica asiática</x:v>
      </x:c>
      <x:c r="I26" s="308" t="str">
        <x:v>Privado comercial</x:v>
      </x:c>
      <x:c r="J26" s="308" t="str">
        <x:v>Privado</x:v>
      </x:c>
      <x:c r="K26" s="308" t="str">
        <x:v>Centro / promercado</x:v>
      </x:c>
      <x:c r="L26" s="308" t="str">
        <x:v>Japonesa / asiática</x:v>
      </x:c>
      <x:c r="M26" s="309" t="n">
        <x:v>5</x:v>
      </x:c>
      <x:c r="N26" s="309" t="n">
        <x:v>4</x:v>
      </x:c>
      <x:c r="O26" s="309" t="n">
        <x:v>4</x:v>
      </x:c>
      <x:c r="P26" s="309" t="n">
        <x:v>5</x:v>
      </x:c>
      <x:c r="Q26" s="309" t="n">
        <x:v>5</x:v>
      </x:c>
      <x:c r="R26" s="309" t="n">
        <x:v>4</x:v>
      </x:c>
      <x:c r="S26" s="311" t="n">
        <x:v>4.5</x:v>
      </x:c>
      <x:c r="T26" s="309" t="str">
        <x:v>Alta</x:v>
      </x:c>
      <x:c r="U26" s="308" t="str">
        <x:v>Asia, cadenas de suministro y geoeconomía</x:v>
      </x:c>
      <x:c r="V26" s="308" t="str">
        <x:v>Moderada</x:v>
      </x:c>
      <x:c r="W26" s="308" t="str">
        <x:v>Reuters, Bloomberg y medios locales</x:v>
      </x:c>
      <x:c r="X26" s="308" t="str">
        <x:v>Nuevo recomendado</x:v>
      </x:c>
      <x:c r="Y26" s="308"/>
      <x:c r="Z26" s="308" t="str">
        <x:v>https://asia.nikkei.com/</x:v>
      </x:c>
      <x:c r="AA26" s="310" t="n">
        <x:v>46219</x:v>
      </x:c>
    </x:row>
    <x:row r="27">
      <x:c r="A27" s="309" t="n">
        <x:v>78</x:v>
      </x:c>
      <x:c r="B27" s="312" t="str">
        <x:v>Afrobarometer</x:v>
      </x:c>
      <x:c r="C27" s="313" t="str">
        <x:v>https://www.afrobarometer.org/</x:v>
      </x:c>
      <x:c r="D27" s="308" t="str">
        <x:v>Red pan-africana; sede institucional en Accra</x:v>
      </x:c>
      <x:c r="E27" s="308" t="str">
        <x:v>África - Pancontinental</x:v>
      </x:c>
      <x:c r="F27" s="308" t="str">
        <x:v>Inglés/Francés/Portugués y lenguas nacionales</x:v>
      </x:c>
      <x:c r="G27" s="308" t="str">
        <x:v>Red de investigación</x:v>
      </x:c>
      <x:c r="H27" s="404" t="str">
        <x:v>Encuestas de opinión pública y datos comparativos</x:v>
      </x:c>
      <x:c r="I27" s="308" t="str">
        <x:v>Red independiente de investigación con financiación institucional</x:v>
      </x:c>
      <x:c r="J27" s="308" t="str">
        <x:v>Investigación no partidista</x:v>
      </x:c>
      <x:c r="K27" s="308" t="str">
        <x:v>No partidista</x:v>
      </x:c>
      <x:c r="L27" s="308" t="str">
        <x:v>Voz ciudadana pan-africana</x:v>
      </x:c>
      <x:c r="M27" s="309" t="n">
        <x:v>5</x:v>
      </x:c>
      <x:c r="N27" s="309" t="n">
        <x:v>5</x:v>
      </x:c>
      <x:c r="O27" s="309" t="n">
        <x:v>5</x:v>
      </x:c>
      <x:c r="P27" s="309" t="n">
        <x:v>5</x:v>
      </x:c>
      <x:c r="Q27" s="309" t="n">
        <x:v>4</x:v>
      </x:c>
      <x:c r="R27" s="309" t="n">
        <x:v>5</x:v>
      </x:c>
      <x:c r="S27" s="311" t="n">
        <x:v>4.8</x:v>
      </x:c>
      <x:c r="T27" s="309" t="str">
        <x:v>Alta</x:v>
      </x:c>
      <x:c r="U27" s="308" t="str">
        <x:v>Opinión pública, democracia, gobernanza, economía y sociedad</x:v>
      </x:c>
      <x:c r="V27" s="308" t="str">
        <x:v>Baja a moderada</x:v>
      </x:c>
      <x:c r="W27" s="308" t="str">
        <x:v>Metodología, cuestionarios, series históricas y estadísticas nacionales</x:v>
      </x:c>
      <x:c r="X27" s="308" t="str">
        <x:v>Nuevo recomendado</x:v>
      </x:c>
      <x:c r="Y27" s="308" t="str">
        <x:v>Fuente prioritaria para medir actitudes ciudadanas; revisar siempre muestra, fecha y formulación de preguntas.</x:v>
      </x:c>
      <x:c r="Z27" s="308" t="str">
        <x:v>https://www.afrobarometer.org/about/</x:v>
      </x:c>
      <x:c r="AA27" s="310" t="n">
        <x:v>46219</x:v>
      </x:c>
    </x:row>
    <x:row r="28">
      <x:c r="A28" s="309" t="n">
        <x:v>38</x:v>
      </x:c>
      <x:c r="B28" s="312" t="str">
        <x:v>Le Grand Continent</x:v>
      </x:c>
      <x:c r="C28" s="313" t="str">
        <x:v>https://legrandcontinent.eu/</x:v>
      </x:c>
      <x:c r="D28" s="308" t="str">
        <x:v>Francia / Europa</x:v>
      </x:c>
      <x:c r="E28" s="308" t="str">
        <x:v>Europa/Global</x:v>
      </x:c>
      <x:c r="F28" s="308" t="str">
        <x:v>Francés y otros</x:v>
      </x:c>
      <x:c r="G28" s="308" t="str">
        <x:v>Revista de ideas / think tank</x:v>
      </x:c>
      <x:c r="H28" s="404" t="str">
        <x:v>Ensayo, análisis y debate intelectual</x:v>
      </x:c>
      <x:c r="I28" s="308" t="str">
        <x:v>Organización intelectual</x:v>
      </x:c>
      <x:c r="J28" s="308" t="str">
        <x:v>ONG/intelectual</x:v>
      </x:c>
      <x:c r="K28" s="308" t="str">
        <x:v>Europeísta</x:v>
      </x:c>
      <x:c r="L28" s="308" t="str">
        <x:v>Europa continental</x:v>
      </x:c>
      <x:c r="M28" s="309" t="n">
        <x:v>4</x:v>
      </x:c>
      <x:c r="N28" s="309" t="n">
        <x:v>4</x:v>
      </x:c>
      <x:c r="O28" s="309" t="n">
        <x:v>4</x:v>
      </x:c>
      <x:c r="P28" s="309" t="n">
        <x:v>4</x:v>
      </x:c>
      <x:c r="Q28" s="309" t="n">
        <x:v>3</x:v>
      </x:c>
      <x:c r="R28" s="309" t="n">
        <x:v>4</x:v>
      </x:c>
      <x:c r="S28" s="311" t="n">
        <x:v>3.8</x:v>
      </x:c>
      <x:c r="T28" s="309" t="str">
        <x:v>Media-alta</x:v>
      </x:c>
      <x:c r="U28" s="308" t="str">
        <x:v>Debate estratégico europeo y largo formato</x:v>
      </x:c>
      <x:c r="V28" s="308" t="str">
        <x:v>Moderada</x:v>
      </x:c>
      <x:c r="W28" s="308" t="str">
        <x:v>Datos, prensa y autores con enfoques distintos</x:v>
      </x:c>
      <x:c r="X28" s="308" t="str">
        <x:v>Activo</x:v>
      </x:c>
      <x:c r="Y28" s="308"/>
      <x:c r="Z28" s="308" t="str">
        <x:v>https://legrandcontinent.eu/</x:v>
      </x:c>
      <x:c r="AA28" s="310" t="n">
        <x:v>46219</x:v>
      </x:c>
    </x:row>
    <x:row r="29">
      <x:c r="A29" s="309" t="n">
        <x:v>85</x:v>
      </x:c>
      <x:c r="B29" s="312" t="str">
        <x:v>The Elephant</x:v>
      </x:c>
      <x:c r="C29" s="313" t="str">
        <x:v>https://www.theelephant.info/</x:v>
      </x:c>
      <x:c r="D29" s="308" t="str">
        <x:v>Kenia; alcance pan-africano</x:v>
      </x:c>
      <x:c r="E29" s="308" t="str">
        <x:v>África Oriental / Pancontinental</x:v>
      </x:c>
      <x:c r="F29" s="308" t="str">
        <x:v>Inglés</x:v>
      </x:c>
      <x:c r="G29" s="308" t="str">
        <x:v>Plataforma de análisis</x:v>
      </x:c>
      <x:c r="H29" s="404" t="str">
        <x:v>Ensayo, opinión, investigación y debate</x:v>
      </x:c>
      <x:c r="I29" s="308" t="str">
        <x:v>Membresías, socios y financiación declarada</x:v>
      </x:c>
      <x:c r="J29" s="308" t="str">
        <x:v>Independiente</x:v>
      </x:c>
      <x:c r="K29" s="308" t="str">
        <x:v>Pan-africanista / progresista</x:v>
      </x:c>
      <x:c r="L29" s="308" t="str">
        <x:v>Kenia / pan-africana</x:v>
      </x:c>
      <x:c r="M29" s="309" t="n">
        <x:v>3</x:v>
      </x:c>
      <x:c r="N29" s="309" t="n">
        <x:v>4</x:v>
      </x:c>
      <x:c r="O29" s="309" t="n">
        <x:v>4</x:v>
      </x:c>
      <x:c r="P29" s="309" t="n">
        <x:v>4</x:v>
      </x:c>
      <x:c r="Q29" s="309" t="n">
        <x:v>3</x:v>
      </x:c>
      <x:c r="R29" s="309" t="n">
        <x:v>3</x:v>
      </x:c>
      <x:c r="S29" s="311" t="n">
        <x:v>3.5</x:v>
      </x:c>
      <x:c r="T29" s="309" t="str">
        <x:v>Media-alta</x:v>
      </x:c>
      <x:c r="U29" s="308" t="str">
        <x:v>Interpretación política, sociedad civil y debate intelectual</x:v>
      </x:c>
      <x:c r="V29" s="308" t="str">
        <x:v>Alta</x:v>
      </x:c>
      <x:c r="W29" s="308" t="str">
        <x:v>Noticias factuales, documentos y perspectivas ideológicas distintas</x:v>
      </x:c>
      <x:c r="X29" s="308" t="str">
        <x:v>Nuevo recomendado</x:v>
      </x:c>
      <x:c r="Y29" s="308" t="str">
        <x:v>Aporta análisis valioso, pero una parte importante del contenido es opinión o ensayo y no debe tratarse como noticia.</x:v>
      </x:c>
      <x:c r="Z29" s="308" t="str">
        <x:v>https://www.theelephant.info/about/</x:v>
      </x:c>
      <x:c r="AA29" s="310" t="n">
        <x:v>46219</x:v>
      </x:c>
    </x:row>
    <x:row r="30">
      <x:c r="A30" s="309" t="n">
        <x:v>63</x:v>
      </x:c>
      <x:c r="B30" s="312" t="str">
        <x:v>Media Bias/Fact Check</x:v>
      </x:c>
      <x:c r="C30" s="313" t="str">
        <x:v>https://mediabiasfactcheck.com/</x:v>
      </x:c>
      <x:c r="D30" s="308" t="str">
        <x:v>Estados Unidos</x:v>
      </x:c>
      <x:c r="E30" s="308" t="str">
        <x:v>Global</x:v>
      </x:c>
      <x:c r="F30" s="308" t="str">
        <x:v>Inglés</x:v>
      </x:c>
      <x:c r="G30" s="308" t="str">
        <x:v>Observatorio de medios</x:v>
      </x:c>
      <x:c r="H30" s="404" t="str">
        <x:v>Guía secundaria sobre sesgo y factualidad</x:v>
      </x:c>
      <x:c r="I30" s="308" t="str">
        <x:v>Sitio privado</x:v>
      </x:c>
      <x:c r="J30" s="308" t="str">
        <x:v>Privado</x:v>
      </x:c>
      <x:c r="K30" s="308" t="str">
        <x:v>Centro</x:v>
      </x:c>
      <x:c r="L30" s="308" t="str">
        <x:v>Evaluación mediática estadounidense</x:v>
      </x:c>
      <x:c r="M30" s="309" t="n">
        <x:v>3</x:v>
      </x:c>
      <x:c r="N30" s="309" t="n">
        <x:v>3</x:v>
      </x:c>
      <x:c r="O30" s="309" t="n">
        <x:v>3</x:v>
      </x:c>
      <x:c r="P30" s="309" t="n">
        <x:v>3</x:v>
      </x:c>
      <x:c r="Q30" s="309" t="n">
        <x:v>3</x:v>
      </x:c>
      <x:c r="R30" s="309" t="n">
        <x:v>4</x:v>
      </x:c>
      <x:c r="S30" s="311" t="n">
        <x:v>3.2</x:v>
      </x:c>
      <x:c r="T30" s="309" t="str">
        <x:v>Media</x:v>
      </x:c>
      <x:c r="U30" s="308" t="str">
        <x:v>Orientación inicial; nunca árbitro único</x:v>
      </x:c>
      <x:c r="V30" s="308" t="str">
        <x:v>Alta</x:v>
      </x:c>
      <x:c r="W30" s="308" t="str">
        <x:v>NewsGuard, Ad Fontes, AllSides y análisis propio</x:v>
      </x:c>
      <x:c r="X30" s="308" t="str">
        <x:v>Secundario</x:v>
      </x:c>
      <x:c r="Y30" s="308" t="str">
        <x:v>La propia metodología reconoce que no es un método científico probado.</x:v>
      </x:c>
      <x:c r="Z30" s="308" t="str">
        <x:v>https://mediabiasfactcheck.com/methodology/</x:v>
      </x:c>
      <x:c r="AA30" s="310" t="n">
        <x:v>46219</x:v>
      </x:c>
    </x:row>
    <x:row r="31">
      <x:c r="A31" s="309" t="n">
        <x:v>73</x:v>
      </x:c>
      <x:c r="B31" s="312" t="str">
        <x:v>Press Gazette</x:v>
      </x:c>
      <x:c r="C31" s="313" t="str">
        <x:v>https://pressgazette.co.uk/</x:v>
      </x:c>
      <x:c r="D31" s="308" t="str">
        <x:v>Reino Unido</x:v>
      </x:c>
      <x:c r="E31" s="308" t="str">
        <x:v>Occidente</x:v>
      </x:c>
      <x:c r="F31" s="308" t="str">
        <x:v>Inglés</x:v>
      </x:c>
      <x:c r="G31" s="308" t="str">
        <x:v>Publicación profesional</x:v>
      </x:c>
      <x:c r="H31" s="404" t="str">
        <x:v>Industria periodística y medios</x:v>
      </x:c>
      <x:c r="I31" s="308" t="str">
        <x:v>Privado comercial</x:v>
      </x:c>
      <x:c r="J31" s="308" t="str">
        <x:v>Privado</x:v>
      </x:c>
      <x:c r="K31" s="308" t="str">
        <x:v>Sectorial</x:v>
      </x:c>
      <x:c r="L31" s="308" t="str">
        <x:v>Industria mediática británica</x:v>
      </x:c>
      <x:c r="M31" s="309" t="n">
        <x:v>4</x:v>
      </x:c>
      <x:c r="N31" s="309" t="n">
        <x:v>4</x:v>
      </x:c>
      <x:c r="O31" s="309" t="n">
        <x:v>4</x:v>
      </x:c>
      <x:c r="P31" s="309" t="n">
        <x:v>4</x:v>
      </x:c>
      <x:c r="Q31" s="309" t="n">
        <x:v>4</x:v>
      </x:c>
      <x:c r="R31" s="309" t="n">
        <x:v>5</x:v>
      </x:c>
      <x:c r="S31" s="311" t="n">
        <x:v>4.2</x:v>
      </x:c>
      <x:c r="T31" s="309" t="str">
        <x:v>Media-alta</x:v>
      </x:c>
      <x:c r="U31" s="308" t="str">
        <x:v>Propiedad de medios, tendencias y libertad de prensa</x:v>
      </x:c>
      <x:c r="V31" s="308" t="str">
        <x:v>Moderada</x:v>
      </x:c>
      <x:c r="W31" s="308" t="str">
        <x:v>Documentos corporativos y reguladores</x:v>
      </x:c>
      <x:c r="X31" s="308" t="str">
        <x:v>Secundario</x:v>
      </x:c>
      <x:c r="Y31" s="308" t="str">
        <x:v>No es fuente directa para hechos geopolíticos.</x:v>
      </x:c>
      <x:c r="Z31" s="308" t="str">
        <x:v>https://pressgazette.co.uk/</x:v>
      </x:c>
      <x:c r="AA31" s="310" t="n">
        <x:v>46219</x:v>
      </x:c>
    </x:row>
    <x:row r="32">
      <x:c r="A32" s="309" t="n">
        <x:v>90</x:v>
      </x:c>
      <x:c r="B32" s="312" t="str">
        <x:v>amaBhungane</x:v>
      </x:c>
      <x:c r="C32" s="313" t="str">
        <x:v>https://amabhungane.org/</x:v>
      </x:c>
      <x:c r="D32" s="308" t="str">
        <x:v>Sudáfrica; investigaciones con alcance regional</x:v>
      </x:c>
      <x:c r="E32" s="308" t="str">
        <x:v>África Austral</x:v>
      </x:c>
      <x:c r="F32" s="308" t="str">
        <x:v>Inglés</x:v>
      </x:c>
      <x:c r="G32" s="308" t="str">
        <x:v>Centro de investigación periodística</x:v>
      </x:c>
      <x:c r="H32" s="404" t="str">
        <x:v>Investigaciones de corrupción, dinero y abuso de poder</x:v>
      </x:c>
      <x:c r="I32" s="308" t="str">
        <x:v>Organización independiente sin fines de lucro</x:v>
      </x:c>
      <x:c r="J32" s="308" t="str">
        <x:v>Independiente</x:v>
      </x:c>
      <x:c r="K32" s="308" t="str">
        <x:v>Rendición de cuentas / transparencia</x:v>
      </x:c>
      <x:c r="L32" s="308" t="str">
        <x:v>Sudafricana / África Austral</x:v>
      </x:c>
      <x:c r="M32" s="309" t="n">
        <x:v>5</x:v>
      </x:c>
      <x:c r="N32" s="309" t="n">
        <x:v>5</x:v>
      </x:c>
      <x:c r="O32" s="309" t="n">
        <x:v>5</x:v>
      </x:c>
      <x:c r="P32" s="309" t="n">
        <x:v>5</x:v>
      </x:c>
      <x:c r="Q32" s="309" t="n">
        <x:v>5</x:v>
      </x:c>
      <x:c r="R32" s="309" t="n">
        <x:v>5</x:v>
      </x:c>
      <x:c r="S32" s="311" t="n">
        <x:v>5</x:v>
      </x:c>
      <x:c r="T32" s="309" t="str">
        <x:v>Alta</x:v>
      </x:c>
      <x:c r="U32" s="308" t="str">
        <x:v>Investigaciones complejas, corrupción y captura del Estado</x:v>
      </x:c>
      <x:c r="V32" s="308" t="str">
        <x:v>Baja a moderada</x:v>
      </x:c>
      <x:c r="W32" s="308" t="str">
        <x:v>Documentos originales, respuestas de implicados y registros corporativos</x:v>
      </x:c>
      <x:c r="X32" s="308" t="str">
        <x:v>Nuevo recomendado</x:v>
      </x:c>
      <x:c r="Y32" s="308" t="str">
        <x:v>Redacción sin fines de lucro especializada en investigaciones documentales y de largo plazo.</x:v>
      </x:c>
      <x:c r="Z32" s="308" t="str">
        <x:v>https://amabhungane.org/about/</x:v>
      </x:c>
      <x:c r="AA32" s="310" t="n">
        <x:v>46219</x:v>
      </x:c>
    </x:row>
    <x:row r="33">
      <x:c r="A33" s="309" t="n">
        <x:v>87</x:v>
      </x:c>
      <x:c r="B33" s="312" t="str">
        <x:v>Africa Uncensored</x:v>
      </x:c>
      <x:c r="C33" s="313" t="str">
        <x:v>https://africauncensored.online/</x:v>
      </x:c>
      <x:c r="D33" s="308" t="str">
        <x:v>Kenia; investigaciones de alcance continental</x:v>
      </x:c>
      <x:c r="E33" s="308" t="str">
        <x:v>África Oriental / Pancontinental</x:v>
      </x:c>
      <x:c r="F33" s="308" t="str">
        <x:v>Inglés/Producción audiovisual</x:v>
      </x:c>
      <x:c r="G33" s="308" t="str">
        <x:v>Medio de investigación</x:v>
      </x:c>
      <x:c r="H33" s="404" t="str">
        <x:v>Investigación audiovisual y periodismo de interés público</x:v>
      </x:c>
      <x:c r="I33" s="308" t="str">
        <x:v>Medio independiente</x:v>
      </x:c>
      <x:c r="J33" s="308" t="str">
        <x:v>Independiente</x:v>
      </x:c>
      <x:c r="K33" s="308" t="str">
        <x:v>Rendición de cuentas / interés público</x:v>
      </x:c>
      <x:c r="L33" s="308" t="str">
        <x:v>Kenia / pan-africana</x:v>
      </x:c>
      <x:c r="M33" s="309" t="n">
        <x:v>4</x:v>
      </x:c>
      <x:c r="N33" s="309" t="n">
        <x:v>5</x:v>
      </x:c>
      <x:c r="O33" s="309" t="n">
        <x:v>4</x:v>
      </x:c>
      <x:c r="P33" s="309" t="n">
        <x:v>5</x:v>
      </x:c>
      <x:c r="Q33" s="309" t="n">
        <x:v>4</x:v>
      </x:c>
      <x:c r="R33" s="309" t="n">
        <x:v>4</x:v>
      </x:c>
      <x:c r="S33" s="311" t="n">
        <x:v>4.3</x:v>
      </x:c>
      <x:c r="T33" s="309" t="str">
        <x:v>Alta</x:v>
      </x:c>
      <x:c r="U33" s="308" t="str">
        <x:v>Investigaciones, corrupción y asuntos subcubiertos</x:v>
      </x:c>
      <x:c r="V33" s="308" t="str">
        <x:v>Moderada</x:v>
      </x:c>
      <x:c r="W33" s="308" t="str">
        <x:v>Documentos originales, respuestas de implicados y prensa nacional</x:v>
      </x:c>
      <x:c r="X33" s="308" t="str">
        <x:v>Nuevo recomendado</x:v>
      </x:c>
      <x:c r="Y33" s="308" t="str">
        <x:v>Casa de periodismo investigativo con sede en Nairobi; prioriza investigaciones visuales y de largo formato.</x:v>
      </x:c>
      <x:c r="Z33" s="308" t="str">
        <x:v>https://africauncensored.online/about/</x:v>
      </x:c>
      <x:c r="AA33" s="310" t="n">
        <x:v>46219</x:v>
      </x:c>
    </x:row>
    <x:row r="34">
      <x:c r="A34" s="309" t="n">
        <x:v>41</x:v>
      </x:c>
      <x:c r="B34" s="312" t="str">
        <x:v>Sciences Po - CERI</x:v>
      </x:c>
      <x:c r="C34" s="313" t="str">
        <x:v>https://www.sciencespo.fr/ceri/en/</x:v>
      </x:c>
      <x:c r="D34" s="308" t="str">
        <x:v>Francia</x:v>
      </x:c>
      <x:c r="E34" s="308" t="str">
        <x:v>Europa/Global</x:v>
      </x:c>
      <x:c r="F34" s="308" t="str">
        <x:v>Francés/Inglés</x:v>
      </x:c>
      <x:c r="G34" s="308" t="str">
        <x:v>Centro académico</x:v>
      </x:c>
      <x:c r="H34" s="404" t="str">
        <x:v>Investigación en relaciones internacionales</x:v>
      </x:c>
      <x:c r="I34" s="308" t="str">
        <x:v>Académica</x:v>
      </x:c>
      <x:c r="J34" s="308" t="str">
        <x:v>Académico</x:v>
      </x:c>
      <x:c r="K34" s="308" t="str">
        <x:v>Plural</x:v>
      </x:c>
      <x:c r="L34" s="308" t="str">
        <x:v>Francesa / europea</x:v>
      </x:c>
      <x:c r="M34" s="309" t="n">
        <x:v>5</x:v>
      </x:c>
      <x:c r="N34" s="309" t="n">
        <x:v>5</x:v>
      </x:c>
      <x:c r="O34" s="309" t="n">
        <x:v>5</x:v>
      </x:c>
      <x:c r="P34" s="309" t="n">
        <x:v>5</x:v>
      </x:c>
      <x:c r="Q34" s="309" t="n">
        <x:v>4</x:v>
      </x:c>
      <x:c r="R34" s="309" t="n">
        <x:v>5</x:v>
      </x:c>
      <x:c r="S34" s="311" t="n">
        <x:v>4.8</x:v>
      </x:c>
      <x:c r="T34" s="309" t="str">
        <x:v>Alta</x:v>
      </x:c>
      <x:c r="U34" s="308" t="str">
        <x:v>Investigación académica y contexto histórico</x:v>
      </x:c>
      <x:c r="V34" s="308" t="str">
        <x:v>Baja a moderada</x:v>
      </x:c>
      <x:c r="W34" s="308" t="str">
        <x:v>Literatura académica y datos primarios</x:v>
      </x:c>
      <x:c r="X34" s="308" t="str">
        <x:v>Activo</x:v>
      </x:c>
      <x:c r="Y34" s="308"/>
      <x:c r="Z34" s="308" t="str">
        <x:v>https://www.sciencespo.fr/ceri/en/</x:v>
      </x:c>
      <x:c r="AA34" s="310" t="n">
        <x:v>46219</x:v>
      </x:c>
    </x:row>
    <x:row r="35">
      <x:c r="A35" s="309" t="n">
        <x:v>34</x:v>
      </x:c>
      <x:c r="B35" s="312" t="str">
        <x:v>European Journal of International Law (EJIL)</x:v>
      </x:c>
      <x:c r="C35" s="313" t="str">
        <x:v>https://www.ejil.org/</x:v>
      </x:c>
      <x:c r="D35" s="308" t="str">
        <x:v>Europa; comunidad académica global</x:v>
      </x:c>
      <x:c r="E35" s="308" t="str">
        <x:v>Global</x:v>
      </x:c>
      <x:c r="F35" s="308" t="str">
        <x:v>Inglés</x:v>
      </x:c>
      <x:c r="G35" s="308" t="str">
        <x:v>Revista académica</x:v>
      </x:c>
      <x:c r="H35" s="404" t="str">
        <x:v>Investigación jurídica revisada por pares</x:v>
      </x:c>
      <x:c r="I35" s="308" t="str">
        <x:v>Académica</x:v>
      </x:c>
      <x:c r="J35" s="308" t="str">
        <x:v>Académico</x:v>
      </x:c>
      <x:c r="K35" s="308" t="str">
        <x:v>Plural</x:v>
      </x:c>
      <x:c r="L35" s="308" t="str">
        <x:v>Derecho internacional</x:v>
      </x:c>
      <x:c r="M35" s="309" t="n">
        <x:v>5</x:v>
      </x:c>
      <x:c r="N35" s="309" t="n">
        <x:v>5</x:v>
      </x:c>
      <x:c r="O35" s="309" t="n">
        <x:v>5</x:v>
      </x:c>
      <x:c r="P35" s="309" t="n">
        <x:v>5</x:v>
      </x:c>
      <x:c r="Q35" s="309" t="n">
        <x:v>4</x:v>
      </x:c>
      <x:c r="R35" s="309" t="n">
        <x:v>5</x:v>
      </x:c>
      <x:c r="S35" s="311" t="n">
        <x:v>4.8</x:v>
      </x:c>
      <x:c r="T35" s="309" t="str">
        <x:v>Alta</x:v>
      </x:c>
      <x:c r="U35" s="308" t="str">
        <x:v>Derecho internacional y jurisprudencia</x:v>
      </x:c>
      <x:c r="V35" s="308" t="str">
        <x:v>Baja a moderada</x:v>
      </x:c>
      <x:c r="W35" s="308" t="str">
        <x:v>Tratados, fallos y doctrina adicional</x:v>
      </x:c>
      <x:c r="X35" s="308" t="str">
        <x:v>Activo</x:v>
      </x:c>
      <x:c r="Y35" s="308"/>
      <x:c r="Z35" s="308" t="str">
        <x:v>https://www.ejil.org/</x:v>
      </x:c>
      <x:c r="AA35" s="310" t="n">
        <x:v>46219</x:v>
      </x:c>
    </x:row>
    <x:row r="36">
      <x:c r="A36" s="309" t="n">
        <x:v>71</x:v>
      </x:c>
      <x:c r="B36" s="312" t="str">
        <x:v>Novaya Gazeta Europe</x:v>
      </x:c>
      <x:c r="C36" s="313" t="str">
        <x:v>https://novayagazeta.eu/</x:v>
      </x:c>
      <x:c r="D36" s="308" t="str">
        <x:v>Exilio europeo; foco en Rusia</x:v>
      </x:c>
      <x:c r="E36" s="308" t="str">
        <x:v>Rusia/Europa Oriental</x:v>
      </x:c>
      <x:c r="F36" s="308" t="str">
        <x:v>Ruso/Inglés</x:v>
      </x:c>
      <x:c r="G36" s="308" t="str">
        <x:v>Medio independiente en exilio</x:v>
      </x:c>
      <x:c r="H36" s="404" t="str">
        <x:v>Investigación y noticias</x:v>
      </x:c>
      <x:c r="I36" s="308" t="str">
        <x:v>Independiente</x:v>
      </x:c>
      <x:c r="J36" s="308" t="str">
        <x:v>Independiente</x:v>
      </x:c>
      <x:c r="K36" s="308" t="str">
        <x:v>Liberal / derechos humanos</x:v>
      </x:c>
      <x:c r="L36" s="308" t="str">
        <x:v>Rusa independiente</x:v>
      </x:c>
      <x:c r="M36" s="309" t="n">
        <x:v>4</x:v>
      </x:c>
      <x:c r="N36" s="309" t="n">
        <x:v>4</x:v>
      </x:c>
      <x:c r="O36" s="309" t="n">
        <x:v>4</x:v>
      </x:c>
      <x:c r="P36" s="309" t="n">
        <x:v>4</x:v>
      </x:c>
      <x:c r="Q36" s="309" t="n">
        <x:v>4</x:v>
      </x:c>
      <x:c r="R36" s="309" t="n">
        <x:v>4</x:v>
      </x:c>
      <x:c r="S36" s="311" t="n">
        <x:v>4</x:v>
      </x:c>
      <x:c r="T36" s="309" t="str">
        <x:v>Media-alta</x:v>
      </x:c>
      <x:c r="U36" s="308" t="str">
        <x:v>Investigación sobre Rusia y derechos humanos</x:v>
      </x:c>
      <x:c r="V36" s="308" t="str">
        <x:v>Moderada-alta</x:v>
      </x:c>
      <x:c r="W36" s="308" t="str">
        <x:v>Reuters, Meduza y documentos primarios</x:v>
      </x:c>
      <x:c r="X36" s="308" t="str">
        <x:v>Nuevo recomendado</x:v>
      </x:c>
      <x:c r="Y36" s="308"/>
      <x:c r="Z36" s="308" t="str">
        <x:v>https://novayagazeta.eu/</x:v>
      </x:c>
      <x:c r="AA36" s="310" t="n">
        <x:v>46219</x:v>
      </x:c>
    </x:row>
    <x:row r="37">
      <x:c r="A37" s="309" t="n">
        <x:v>31</x:v>
      </x:c>
      <x:c r="B37" s="312" t="str">
        <x:v>Mada Masr</x:v>
      </x:c>
      <x:c r="C37" s="313" t="str">
        <x:v>https://www.madamasr.com/en/</x:v>
      </x:c>
      <x:c r="D37" s="308" t="str">
        <x:v>Egipto</x:v>
      </x:c>
      <x:c r="E37" s="308" t="str">
        <x:v>África del Norte / Medio Oriente</x:v>
      </x:c>
      <x:c r="F37" s="308" t="str">
        <x:v>Árabe/Inglés</x:v>
      </x:c>
      <x:c r="G37" s="308" t="str">
        <x:v>Medio independiente</x:v>
      </x:c>
      <x:c r="H37" s="404" t="str">
        <x:v>Investigación y reportajes</x:v>
      </x:c>
      <x:c r="I37" s="308" t="str">
        <x:v>Independiente</x:v>
      </x:c>
      <x:c r="J37" s="308" t="str">
        <x:v>Independiente</x:v>
      </x:c>
      <x:c r="K37" s="308" t="str">
        <x:v>Progresista / derechos civiles</x:v>
      </x:c>
      <x:c r="L37" s="308" t="str">
        <x:v>Egipcia / regional</x:v>
      </x:c>
      <x:c r="M37" s="309" t="n">
        <x:v>4</x:v>
      </x:c>
      <x:c r="N37" s="309" t="n">
        <x:v>4</x:v>
      </x:c>
      <x:c r="O37" s="309" t="n">
        <x:v>4</x:v>
      </x:c>
      <x:c r="P37" s="309" t="n">
        <x:v>4</x:v>
      </x:c>
      <x:c r="Q37" s="309" t="n">
        <x:v>3</x:v>
      </x:c>
      <x:c r="R37" s="309" t="n">
        <x:v>4</x:v>
      </x:c>
      <x:c r="S37" s="311" t="n">
        <x:v>3.8</x:v>
      </x:c>
      <x:c r="T37" s="309" t="str">
        <x:v>Media-alta</x:v>
      </x:c>
      <x:c r="U37" s="308" t="str">
        <x:v>Egipto, derechos y política regional</x:v>
      </x:c>
      <x:c r="V37" s="308" t="str">
        <x:v>Moderada</x:v>
      </x:c>
      <x:c r="W37" s="308" t="str">
        <x:v>Agencias y documentos oficiales</x:v>
      </x:c>
      <x:c r="X37" s="308" t="str">
        <x:v>Activo</x:v>
      </x:c>
      <x:c r="Y37" s="308"/>
      <x:c r="Z37" s="308" t="str">
        <x:v>https://www.madamasr.com/en/</x:v>
      </x:c>
      <x:c r="AA37" s="310" t="n">
        <x:v>46219</x:v>
      </x:c>
    </x:row>
    <x:row r="38">
      <x:c r="A38" s="309" t="n">
        <x:v>80</x:v>
      </x:c>
      <x:c r="B38" s="312" t="str">
        <x:v>Inkyfada</x:v>
      </x:c>
      <x:c r="C38" s="313" t="str">
        <x:v>https://inkyfada.com/en/</x:v>
      </x:c>
      <x:c r="D38" s="308" t="str">
        <x:v>Túnez</x:v>
      </x:c>
      <x:c r="E38" s="308" t="str">
        <x:v>África del Norte</x:v>
      </x:c>
      <x:c r="F38" s="308" t="str">
        <x:v>Árabe/Francés/Inglés</x:v>
      </x:c>
      <x:c r="G38" s="308" t="str">
        <x:v>Medio independiente / investigación</x:v>
      </x:c>
      <x:c r="H38" s="404" t="str">
        <x:v>Investigación, datos, narrativas multimedia y explicadores</x:v>
      </x:c>
      <x:c r="I38" s="308" t="str">
        <x:v>Colectivo independiente sin fines de lucro; membresías y apoyos</x:v>
      </x:c>
      <x:c r="J38" s="308" t="str">
        <x:v>Independiente</x:v>
      </x:c>
      <x:c r="K38" s="308" t="str">
        <x:v>Progresista / derechos y transparencia</x:v>
      </x:c>
      <x:c r="L38" s="308" t="str">
        <x:v>Tunecina / magrebí</x:v>
      </x:c>
      <x:c r="M38" s="309" t="n">
        <x:v>4</x:v>
      </x:c>
      <x:c r="N38" s="309" t="n">
        <x:v>5</x:v>
      </x:c>
      <x:c r="O38" s="309" t="n">
        <x:v>5</x:v>
      </x:c>
      <x:c r="P38" s="309" t="n">
        <x:v>5</x:v>
      </x:c>
      <x:c r="Q38" s="309" t="n">
        <x:v>4</x:v>
      </x:c>
      <x:c r="R38" s="309" t="n">
        <x:v>5</x:v>
      </x:c>
      <x:c r="S38" s="311" t="n">
        <x:v>4.7</x:v>
      </x:c>
      <x:c r="T38" s="309" t="str">
        <x:v>Alta</x:v>
      </x:c>
      <x:c r="U38" s="308" t="str">
        <x:v>Túnez, migración, corrupción, justicia y Magreb</x:v>
      </x:c>
      <x:c r="V38" s="308" t="str">
        <x:v>Moderada</x:v>
      </x:c>
      <x:c r="W38" s="308" t="str">
        <x:v>Documentos, medios magrebíes, agencias y fuentes oficiales</x:v>
      </x:c>
      <x:c r="X38" s="308" t="str">
        <x:v>Nuevo recomendado</x:v>
      </x:c>
      <x:c r="Y38" s="308" t="str">
        <x:v>Colectivo independiente fundado en Túnez con fuerte capacidad de investigación y periodismo de datos.</x:v>
      </x:c>
      <x:c r="Z38" s="308" t="str">
        <x:v>https://inkyfada.com/en/apropos/</x:v>
      </x:c>
      <x:c r="AA38" s="310" t="n">
        <x:v>46219</x:v>
      </x:c>
    </x:row>
    <x:row r="39">
      <x:c r="A39" s="309" t="n">
        <x:v>64</x:v>
      </x:c>
      <x:c r="B39" s="312" t="str">
        <x:v>The Intercept</x:v>
      </x:c>
      <x:c r="C39" s="313" t="str">
        <x:v>https://theintercept.com/</x:v>
      </x:c>
      <x:c r="D39" s="308" t="str">
        <x:v>Estados Unidos; alcance global</x:v>
      </x:c>
      <x:c r="E39" s="308" t="str">
        <x:v>Global</x:v>
      </x:c>
      <x:c r="F39" s="308" t="str">
        <x:v>Inglés</x:v>
      </x:c>
      <x:c r="G39" s="308" t="str">
        <x:v>Medio de investigación</x:v>
      </x:c>
      <x:c r="H39" s="404" t="str">
        <x:v>Investigación, filtraciones y opinión</x:v>
      </x:c>
      <x:c r="I39" s="308" t="str">
        <x:v>Independiente / sin fines de lucro</x:v>
      </x:c>
      <x:c r="J39" s="308" t="str">
        <x:v>Independiente</x:v>
      </x:c>
      <x:c r="K39" s="308" t="str">
        <x:v>Izquierda</x:v>
      </x:c>
      <x:c r="L39" s="308" t="str">
        <x:v>Antivigilancia / antiintervencionista</x:v>
      </x:c>
      <x:c r="M39" s="309" t="n">
        <x:v>4</x:v>
      </x:c>
      <x:c r="N39" s="309" t="n">
        <x:v>4</x:v>
      </x:c>
      <x:c r="O39" s="309" t="n">
        <x:v>3</x:v>
      </x:c>
      <x:c r="P39" s="309" t="n">
        <x:v>4</x:v>
      </x:c>
      <x:c r="Q39" s="309" t="n">
        <x:v>3</x:v>
      </x:c>
      <x:c r="R39" s="309" t="n">
        <x:v>3</x:v>
      </x:c>
      <x:c r="S39" s="311" t="n">
        <x:v>3.5</x:v>
      </x:c>
      <x:c r="T39" s="309" t="str">
        <x:v>Media-alta</x:v>
      </x:c>
      <x:c r="U39" s="308" t="str">
        <x:v>Investigaciones y documentos filtrados</x:v>
      </x:c>
      <x:c r="V39" s="308" t="str">
        <x:v>Alta</x:v>
      </x:c>
      <x:c r="W39" s="308" t="str">
        <x:v>Documentos originales, respuestas de implicados y agencias</x:v>
      </x:c>
      <x:c r="X39" s="308" t="str">
        <x:v>Uso condicionado</x:v>
      </x:c>
      <x:c r="Y39" s="308" t="str">
        <x:v>Sólido en investigación; fuerte marco editorial.</x:v>
      </x:c>
      <x:c r="Z39" s="308" t="str">
        <x:v>https://theintercept.com/</x:v>
      </x:c>
      <x:c r="AA39" s="310" t="n">
        <x:v>46219</x:v>
      </x:c>
    </x:row>
    <x:row r="40">
      <x:c r="A40" s="309" t="n">
        <x:v>14</x:v>
      </x:c>
      <x:c r="B40" s="312" t="str">
        <x:v>Bloomberg</x:v>
      </x:c>
      <x:c r="C40" s="313" t="str">
        <x:v>https://www.bloomberg.com/</x:v>
      </x:c>
      <x:c r="D40" s="308" t="str">
        <x:v>Estados Unidos; alcance global</x:v>
      </x:c>
      <x:c r="E40" s="308" t="str">
        <x:v>Global</x:v>
      </x:c>
      <x:c r="F40" s="308" t="str">
        <x:v>Inglés</x:v>
      </x:c>
      <x:c r="G40" s="308" t="str">
        <x:v>Medio financiero</x:v>
      </x:c>
      <x:c r="H40" s="404" t="str">
        <x:v>Mercados, empresas, energía y política económica</x:v>
      </x:c>
      <x:c r="I40" s="308" t="str">
        <x:v>Privado comercial</x:v>
      </x:c>
      <x:c r="J40" s="308" t="str">
        <x:v>Privado</x:v>
      </x:c>
      <x:c r="K40" s="308" t="str">
        <x:v>Centro / promercado</x:v>
      </x:c>
      <x:c r="L40" s="308" t="str">
        <x:v>Mercados globales</x:v>
      </x:c>
      <x:c r="M40" s="309" t="n">
        <x:v>5</x:v>
      </x:c>
      <x:c r="N40" s="309" t="n">
        <x:v>4</x:v>
      </x:c>
      <x:c r="O40" s="309" t="n">
        <x:v>4</x:v>
      </x:c>
      <x:c r="P40" s="309" t="n">
        <x:v>5</x:v>
      </x:c>
      <x:c r="Q40" s="309" t="n">
        <x:v>5</x:v>
      </x:c>
      <x:c r="R40" s="309" t="n">
        <x:v>4</x:v>
      </x:c>
      <x:c r="S40" s="311" t="n">
        <x:v>4.5</x:v>
      </x:c>
      <x:c r="T40" s="309" t="str">
        <x:v>Alta</x:v>
      </x:c>
      <x:c r="U40" s="308" t="str">
        <x:v>Economía, sanciones, energía y empresas</x:v>
      </x:c>
      <x:c r="V40" s="308" t="str">
        <x:v>Moderada</x:v>
      </x:c>
      <x:c r="W40" s="308" t="str">
        <x:v>Reuters, FT y documentos financieros</x:v>
      </x:c>
      <x:c r="X40" s="308" t="str">
        <x:v>Nuevo recomendado</x:v>
      </x:c>
      <x:c r="Y40" s="308"/>
      <x:c r="Z40" s="308" t="str">
        <x:v>https://www.bloomberg.com/</x:v>
      </x:c>
      <x:c r="AA40" s="310" t="n">
        <x:v>46219</x:v>
      </x:c>
    </x:row>
    <x:row r="41">
      <x:c r="A41" s="309" t="n">
        <x:v>53</x:v>
      </x:c>
      <x:c r="B41" s="312" t="str">
        <x:v>South China Morning Post</x:v>
      </x:c>
      <x:c r="C41" s="313" t="str">
        <x:v>https://www.scmp.com/</x:v>
      </x:c>
      <x:c r="D41" s="308" t="str">
        <x:v>Hong Kong</x:v>
      </x:c>
      <x:c r="E41" s="308" t="str">
        <x:v>Asia</x:v>
      </x:c>
      <x:c r="F41" s="308" t="str">
        <x:v>Inglés/Chino</x:v>
      </x:c>
      <x:c r="G41" s="308" t="str">
        <x:v>Medio regional</x:v>
      </x:c>
      <x:c r="H41" s="404" t="str">
        <x:v>Noticias de China y Asia</x:v>
      </x:c>
      <x:c r="I41" s="308" t="str">
        <x:v>Privado comercial</x:v>
      </x:c>
      <x:c r="J41" s="308" t="str">
        <x:v>Privado</x:v>
      </x:c>
      <x:c r="K41" s="308" t="str">
        <x:v>Centro; sensibilidad al entorno chino</x:v>
      </x:c>
      <x:c r="L41" s="308" t="str">
        <x:v>Hong Kong / China</x:v>
      </x:c>
      <x:c r="M41" s="309" t="n">
        <x:v>4</x:v>
      </x:c>
      <x:c r="N41" s="309" t="n">
        <x:v>3</x:v>
      </x:c>
      <x:c r="O41" s="309" t="n">
        <x:v>3</x:v>
      </x:c>
      <x:c r="P41" s="309" t="n">
        <x:v>4</x:v>
      </x:c>
      <x:c r="Q41" s="309" t="n">
        <x:v>4</x:v>
      </x:c>
      <x:c r="R41" s="309" t="n">
        <x:v>4</x:v>
      </x:c>
      <x:c r="S41" s="311" t="n">
        <x:v>3.7</x:v>
      </x:c>
      <x:c r="T41" s="309" t="str">
        <x:v>Media-alta</x:v>
      </x:c>
      <x:c r="U41" s="308" t="str">
        <x:v>China, Hong Kong y Asia</x:v>
      </x:c>
      <x:c r="V41" s="308" t="str">
        <x:v>Moderada-alta</x:v>
      </x:c>
      <x:c r="W41" s="308" t="str">
        <x:v>Reuters, Nikkei, Caixin y medios internacionales</x:v>
      </x:c>
      <x:c r="X41" s="308" t="str">
        <x:v>Nuevo recomendado</x:v>
      </x:c>
      <x:c r="Y41" s="308"/>
      <x:c r="Z41" s="308" t="str">
        <x:v>https://www.scmp.com/</x:v>
      </x:c>
      <x:c r="AA41" s="310" t="n">
        <x:v>46219</x:v>
      </x:c>
    </x:row>
    <x:row r="42">
      <x:c r="A42" s="309" t="n">
        <x:v>72</x:v>
      </x:c>
      <x:c r="B42" s="312" t="str">
        <x:v>The Kyiv Independent</x:v>
      </x:c>
      <x:c r="C42" s="313" t="str">
        <x:v>https://kyivindependent.com/</x:v>
      </x:c>
      <x:c r="D42" s="308" t="str">
        <x:v>Ucrania</x:v>
      </x:c>
      <x:c r="E42" s="308" t="str">
        <x:v>Europa Oriental</x:v>
      </x:c>
      <x:c r="F42" s="308" t="str">
        <x:v>Inglés</x:v>
      </x:c>
      <x:c r="G42" s="308" t="str">
        <x:v>Medio independiente</x:v>
      </x:c>
      <x:c r="H42" s="404" t="str">
        <x:v>Noticias e investigación</x:v>
      </x:c>
      <x:c r="I42" s="308" t="str">
        <x:v>Independiente / membresías y donaciones</x:v>
      </x:c>
      <x:c r="J42" s="308" t="str">
        <x:v>Independiente</x:v>
      </x:c>
      <x:c r="K42" s="308" t="str">
        <x:v>Pro-ucraniano</x:v>
      </x:c>
      <x:c r="L42" s="308" t="str">
        <x:v>Ucraniana</x:v>
      </x:c>
      <x:c r="M42" s="309" t="n">
        <x:v>4</x:v>
      </x:c>
      <x:c r="N42" s="309" t="n">
        <x:v>4</x:v>
      </x:c>
      <x:c r="O42" s="309" t="n">
        <x:v>4</x:v>
      </x:c>
      <x:c r="P42" s="309" t="n">
        <x:v>4</x:v>
      </x:c>
      <x:c r="Q42" s="309" t="n">
        <x:v>4</x:v>
      </x:c>
      <x:c r="R42" s="309" t="n">
        <x:v>4</x:v>
      </x:c>
      <x:c r="S42" s="311" t="n">
        <x:v>4</x:v>
      </x:c>
      <x:c r="T42" s="309" t="str">
        <x:v>Media-alta</x:v>
      </x:c>
      <x:c r="U42" s="308" t="str">
        <x:v>Ucrania y guerra ruso-ucraniana</x:v>
      </x:c>
      <x:c r="V42" s="308" t="str">
        <x:v>Alta en afirmaciones operativas</x:v>
      </x:c>
      <x:c r="W42" s="308" t="str">
        <x:v>Reuters/AP, ONU, OSINT y fuentes rusas independientes</x:v>
      </x:c>
      <x:c r="X42" s="308" t="str">
        <x:v>Nuevo recomendado</x:v>
      </x:c>
      <x:c r="Y42" s="308"/>
      <x:c r="Z42" s="308" t="str">
        <x:v>https://kyivindependent.com/</x:v>
      </x:c>
      <x:c r="AA42" s="310" t="n">
        <x:v>46219</x:v>
      </x:c>
    </x:row>
    <x:row r="43">
      <x:c r="A43" s="309" t="n">
        <x:v>70</x:v>
      </x:c>
      <x:c r="B43" s="312" t="str">
        <x:v>Meduza</x:v>
      </x:c>
      <x:c r="C43" s="313" t="str">
        <x:v>https://meduza.io/en</x:v>
      </x:c>
      <x:c r="D43" s="308" t="str">
        <x:v>Exilio; foco en Rusia</x:v>
      </x:c>
      <x:c r="E43" s="308" t="str">
        <x:v>Rusia/Europa Oriental</x:v>
      </x:c>
      <x:c r="F43" s="308" t="str">
        <x:v>Ruso/Inglés</x:v>
      </x:c>
      <x:c r="G43" s="308" t="str">
        <x:v>Medio independiente en exilio</x:v>
      </x:c>
      <x:c r="H43" s="404" t="str">
        <x:v>Noticias e investigación</x:v>
      </x:c>
      <x:c r="I43" s="308" t="str">
        <x:v>Independiente / donaciones</x:v>
      </x:c>
      <x:c r="J43" s="308" t="str">
        <x:v>Independiente</x:v>
      </x:c>
      <x:c r="K43" s="308" t="str">
        <x:v>Liberal / crítica del Kremlin</x:v>
      </x:c>
      <x:c r="L43" s="308" t="str">
        <x:v>Rusa independiente</x:v>
      </x:c>
      <x:c r="M43" s="309" t="n">
        <x:v>4</x:v>
      </x:c>
      <x:c r="N43" s="309" t="n">
        <x:v>4</x:v>
      </x:c>
      <x:c r="O43" s="309" t="n">
        <x:v>4</x:v>
      </x:c>
      <x:c r="P43" s="309" t="n">
        <x:v>4</x:v>
      </x:c>
      <x:c r="Q43" s="309" t="n">
        <x:v>4</x:v>
      </x:c>
      <x:c r="R43" s="309" t="n">
        <x:v>4</x:v>
      </x:c>
      <x:c r="S43" s="311" t="n">
        <x:v>4</x:v>
      </x:c>
      <x:c r="T43" s="309" t="str">
        <x:v>Media-alta</x:v>
      </x:c>
      <x:c r="U43" s="308" t="str">
        <x:v>Rusia, sociedad y política interna</x:v>
      </x:c>
      <x:c r="V43" s="308" t="str">
        <x:v>Moderada-alta</x:v>
      </x:c>
      <x:c r="W43" s="308" t="str">
        <x:v>Reuters, Novaya Gazeta Europe y documentos</x:v>
      </x:c>
      <x:c r="X43" s="308" t="str">
        <x:v>Nuevo recomendado</x:v>
      </x:c>
      <x:c r="Y43" s="308"/>
      <x:c r="Z43" s="308" t="str">
        <x:v>https://meduza.io/en</x:v>
      </x:c>
      <x:c r="AA43" s="310" t="n">
        <x:v>46219</x:v>
      </x:c>
    </x:row>
    <x:row r="44">
      <x:c r="A44" s="309" t="n">
        <x:v>11</x:v>
      </x:c>
      <x:c r="B44" s="312" t="str">
        <x:v>The Wall Street Journal</x:v>
      </x:c>
      <x:c r="C44" s="313" t="str">
        <x:v>https://www.wsj.com/</x:v>
      </x:c>
      <x:c r="D44" s="308" t="str">
        <x:v>Estados Unidos; alcance global</x:v>
      </x:c>
      <x:c r="E44" s="308" t="str">
        <x:v>Global/Occidente</x:v>
      </x:c>
      <x:c r="F44" s="308" t="str">
        <x:v>Inglés</x:v>
      </x:c>
      <x:c r="G44" s="308" t="str">
        <x:v>Medio generalista y financiero</x:v>
      </x:c>
      <x:c r="H44" s="404" t="str">
        <x:v>Noticias económicas, empresariales y opinión</x:v>
      </x:c>
      <x:c r="I44" s="308" t="str">
        <x:v>Privado comercial</x:v>
      </x:c>
      <x:c r="J44" s="308" t="str">
        <x:v>Privado</x:v>
      </x:c>
      <x:c r="K44" s="308" t="str">
        <x:v>Centro-derecha; editorial conservador</x:v>
      </x:c>
      <x:c r="L44" s="308" t="str">
        <x:v>Mercados / estadounidense</x:v>
      </x:c>
      <x:c r="M44" s="309" t="n">
        <x:v>5</x:v>
      </x:c>
      <x:c r="N44" s="309" t="n">
        <x:v>4</x:v>
      </x:c>
      <x:c r="O44" s="309" t="n">
        <x:v>4</x:v>
      </x:c>
      <x:c r="P44" s="309" t="n">
        <x:v>5</x:v>
      </x:c>
      <x:c r="Q44" s="309" t="n">
        <x:v>5</x:v>
      </x:c>
      <x:c r="R44" s="309" t="n">
        <x:v>4</x:v>
      </x:c>
      <x:c r="S44" s="311" t="n">
        <x:v>4.5</x:v>
      </x:c>
      <x:c r="T44" s="309" t="str">
        <x:v>Alta</x:v>
      </x:c>
      <x:c r="U44" s="308" t="str">
        <x:v>Economía, empresas, sanciones y comercio</x:v>
      </x:c>
      <x:c r="V44" s="308" t="str">
        <x:v>Moderada</x:v>
      </x:c>
      <x:c r="W44" s="308" t="str">
        <x:v>Reuters, Bloomberg y documentos regulatorios</x:v>
      </x:c>
      <x:c r="X44" s="308" t="str">
        <x:v>Activo</x:v>
      </x:c>
      <x:c r="Y44" s="308" t="str">
        <x:v>La sección informativa y la página editorial tienen perfiles distintos.</x:v>
      </x:c>
      <x:c r="Z44" s="308" t="str">
        <x:v>https://www.wsj.com/</x:v>
      </x:c>
      <x:c r="AA44" s="310" t="n">
        <x:v>46219</x:v>
      </x:c>
    </x:row>
    <x:row r="45">
      <x:c r="A45" s="309" t="n">
        <x:v>6</x:v>
      </x:c>
      <x:c r="B45" s="312" t="str">
        <x:v>NBC News</x:v>
      </x:c>
      <x:c r="C45" s="313" t="str">
        <x:v>https://www.nbcnews.com/</x:v>
      </x:c>
      <x:c r="D45" s="308" t="str">
        <x:v>Estados Unidos</x:v>
      </x:c>
      <x:c r="E45" s="308" t="str">
        <x:v>Occidente</x:v>
      </x:c>
      <x:c r="F45" s="308" t="str">
        <x:v>Inglés</x:v>
      </x:c>
      <x:c r="G45" s="308" t="str">
        <x:v>Televisión y medio digital</x:v>
      </x:c>
      <x:c r="H45" s="404" t="str">
        <x:v>Noticias generales</x:v>
      </x:c>
      <x:c r="I45" s="308" t="str">
        <x:v>Privado comercial</x:v>
      </x:c>
      <x:c r="J45" s="308" t="str">
        <x:v>Privado</x:v>
      </x:c>
      <x:c r="K45" s="308" t="str">
        <x:v>Centro-izquierda</x:v>
      </x:c>
      <x:c r="L45" s="308" t="str">
        <x:v>Estadounidense</x:v>
      </x:c>
      <x:c r="M45" s="309" t="n">
        <x:v>4</x:v>
      </x:c>
      <x:c r="N45" s="309" t="n">
        <x:v>4</x:v>
      </x:c>
      <x:c r="O45" s="309" t="n">
        <x:v>4</x:v>
      </x:c>
      <x:c r="P45" s="309" t="n">
        <x:v>4</x:v>
      </x:c>
      <x:c r="Q45" s="309" t="n">
        <x:v>4</x:v>
      </x:c>
      <x:c r="R45" s="309" t="n">
        <x:v>4</x:v>
      </x:c>
      <x:c r="S45" s="311" t="n">
        <x:v>4</x:v>
      </x:c>
      <x:c r="T45" s="309" t="str">
        <x:v>Media-alta</x:v>
      </x:c>
      <x:c r="U45" s="308" t="str">
        <x:v>Política y sociedad de Estados Unidos</x:v>
      </x:c>
      <x:c r="V45" s="308" t="str">
        <x:v>Moderada</x:v>
      </x:c>
      <x:c r="W45" s="308" t="str">
        <x:v>AP, Reuters y documentos oficiales</x:v>
      </x:c>
      <x:c r="X45" s="308" t="str">
        <x:v>Activo</x:v>
      </x:c>
      <x:c r="Y45" s="308"/>
      <x:c r="Z45" s="308" t="str">
        <x:v>https://www.nbcnews.com/</x:v>
      </x:c>
      <x:c r="AA45" s="310" t="n">
        <x:v>46219</x:v>
      </x:c>
    </x:row>
    <x:row r="46">
      <x:c r="A46" s="309" t="n">
        <x:v>2</x:v>
      </x:c>
      <x:c r="B46" s="312" t="str">
        <x:v>BBC News</x:v>
      </x:c>
      <x:c r="C46" s="313" t="str">
        <x:v>https://www.bbc.com/news</x:v>
      </x:c>
      <x:c r="D46" s="308" t="str">
        <x:v>Reino Unido; alcance global</x:v>
      </x:c>
      <x:c r="E46" s="308" t="str">
        <x:v>Global/Occidente</x:v>
      </x:c>
      <x:c r="F46" s="308" t="str">
        <x:v>Inglés y servicios internacionales</x:v>
      </x:c>
      <x:c r="G46" s="308" t="str">
        <x:v>Radiodifusor público</x:v>
      </x:c>
      <x:c r="H46" s="404" t="str">
        <x:v>Noticias generales y contexto</x:v>
      </x:c>
      <x:c r="I46" s="308" t="str">
        <x:v>Financiación pública bajo carta y gobernanza propias</x:v>
      </x:c>
      <x:c r="J46" s="308" t="str">
        <x:v>Público</x:v>
      </x:c>
      <x:c r="K46" s="308" t="str">
        <x:v>Centro</x:v>
      </x:c>
      <x:c r="L46" s="308" t="str">
        <x:v>Británica / internacionalista</x:v>
      </x:c>
      <x:c r="M46" s="309" t="n">
        <x:v>5</x:v>
      </x:c>
      <x:c r="N46" s="309" t="n">
        <x:v>4</x:v>
      </x:c>
      <x:c r="O46" s="309" t="n">
        <x:v>5</x:v>
      </x:c>
      <x:c r="P46" s="309" t="n">
        <x:v>5</x:v>
      </x:c>
      <x:c r="Q46" s="309" t="n">
        <x:v>5</x:v>
      </x:c>
      <x:c r="R46" s="309" t="n">
        <x:v>5</x:v>
      </x:c>
      <x:c r="S46" s="311" t="n">
        <x:v>4.8</x:v>
      </x:c>
      <x:c r="T46" s="309" t="str">
        <x:v>Alta</x:v>
      </x:c>
      <x:c r="U46" s="308" t="str">
        <x:v>Confirmación factual y contexto internacional</x:v>
      </x:c>
      <x:c r="V46" s="308" t="str">
        <x:v>Baja a moderada</x:v>
      </x:c>
      <x:c r="W46" s="308" t="str">
        <x:v>Reuters, AP y fuentes locales</x:v>
      </x:c>
      <x:c r="X46" s="308" t="str">
        <x:v>Activo</x:v>
      </x:c>
      <x:c r="Y46" s="308" t="str">
        <x:v>Separar cobertura informativa de análisis y opinión.</x:v>
      </x:c>
      <x:c r="Z46" s="308" t="str">
        <x:v>https://www.bbc.com/aboutthebbc/governance/charter</x:v>
      </x:c>
      <x:c r="AA46" s="310" t="n">
        <x:v>46219</x:v>
      </x:c>
    </x:row>
    <x:row r="47">
      <x:c r="A47" s="309" t="n">
        <x:v>25</x:v>
      </x:c>
      <x:c r="B47" s="312" t="str">
        <x:v>Khaleej Times</x:v>
      </x:c>
      <x:c r="C47" s="313" t="str">
        <x:v>https://www.khaleejtimes.com/</x:v>
      </x:c>
      <x:c r="D47" s="308" t="str">
        <x:v>Emiratos Árabes Unidos</x:v>
      </x:c>
      <x:c r="E47" s="308" t="str">
        <x:v>Medio Oriente</x:v>
      </x:c>
      <x:c r="F47" s="308" t="str">
        <x:v>Inglés</x:v>
      </x:c>
      <x:c r="G47" s="308" t="str">
        <x:v>Medio regional</x:v>
      </x:c>
      <x:c r="H47" s="404" t="str">
        <x:v>Noticias generales y económicas</x:v>
      </x:c>
      <x:c r="I47" s="308" t="str">
        <x:v>Privado comercial en entorno altamente regulado</x:v>
      </x:c>
      <x:c r="J47" s="308" t="str">
        <x:v>Privado/regulado</x:v>
      </x:c>
      <x:c r="K47" s="308" t="str">
        <x:v>Proinstitucional</x:v>
      </x:c>
      <x:c r="L47" s="308" t="str">
        <x:v>Emiratí / Golfo</x:v>
      </x:c>
      <x:c r="M47" s="309" t="n">
        <x:v>3</x:v>
      </x:c>
      <x:c r="N47" s="309" t="n">
        <x:v>2</x:v>
      </x:c>
      <x:c r="O47" s="309" t="n">
        <x:v>3</x:v>
      </x:c>
      <x:c r="P47" s="309" t="n">
        <x:v>3</x:v>
      </x:c>
      <x:c r="Q47" s="309" t="n">
        <x:v>3</x:v>
      </x:c>
      <x:c r="R47" s="309" t="n">
        <x:v>4</x:v>
      </x:c>
      <x:c r="S47" s="311" t="n">
        <x:v>3</x:v>
      </x:c>
      <x:c r="T47" s="309" t="str">
        <x:v>Media</x:v>
      </x:c>
      <x:c r="U47" s="308" t="str">
        <x:v>Economía y vida regional del Golfo</x:v>
      </x:c>
      <x:c r="V47" s="308" t="str">
        <x:v>Alta en asuntos internos sensibles</x:v>
      </x:c>
      <x:c r="W47" s="308" t="str">
        <x:v>Reuters, AFP y medios regionales independientes</x:v>
      </x:c>
      <x:c r="X47" s="308" t="str">
        <x:v>Uso condicionado</x:v>
      </x:c>
      <x:c r="Y47" s="308"/>
      <x:c r="Z47" s="308" t="str">
        <x:v>https://www.khaleejtimes.com/</x:v>
      </x:c>
      <x:c r="AA47" s="310" t="n">
        <x:v>46219</x:v>
      </x:c>
    </x:row>
    <x:row r="48">
      <x:c r="A48" s="309" t="n">
        <x:v>21</x:v>
      </x:c>
      <x:c r="B48" s="312" t="str">
        <x:v>Gulf News</x:v>
      </x:c>
      <x:c r="C48" s="313" t="str">
        <x:v>https://gulfnews.com/</x:v>
      </x:c>
      <x:c r="D48" s="308" t="str">
        <x:v>Emiratos Árabes Unidos</x:v>
      </x:c>
      <x:c r="E48" s="308" t="str">
        <x:v>Medio Oriente</x:v>
      </x:c>
      <x:c r="F48" s="308" t="str">
        <x:v>Inglés</x:v>
      </x:c>
      <x:c r="G48" s="308" t="str">
        <x:v>Medio regional</x:v>
      </x:c>
      <x:c r="H48" s="404" t="str">
        <x:v>Noticias generales y regionales</x:v>
      </x:c>
      <x:c r="I48" s="308" t="str">
        <x:v>Privado comercial en entorno altamente regulado</x:v>
      </x:c>
      <x:c r="J48" s="308" t="str">
        <x:v>Privado/regulado</x:v>
      </x:c>
      <x:c r="K48" s="308" t="str">
        <x:v>Proinstitucional</x:v>
      </x:c>
      <x:c r="L48" s="308" t="str">
        <x:v>Emiratí / Golfo</x:v>
      </x:c>
      <x:c r="M48" s="309" t="n">
        <x:v>3</x:v>
      </x:c>
      <x:c r="N48" s="309" t="n">
        <x:v>2</x:v>
      </x:c>
      <x:c r="O48" s="309" t="n">
        <x:v>3</x:v>
      </x:c>
      <x:c r="P48" s="309" t="n">
        <x:v>3</x:v>
      </x:c>
      <x:c r="Q48" s="309" t="n">
        <x:v>3</x:v>
      </x:c>
      <x:c r="R48" s="309" t="n">
        <x:v>4</x:v>
      </x:c>
      <x:c r="S48" s="311" t="n">
        <x:v>3</x:v>
      </x:c>
      <x:c r="T48" s="309" t="str">
        <x:v>Media</x:v>
      </x:c>
      <x:c r="U48" s="308" t="str">
        <x:v>Economía y narrativa oficial del Golfo</x:v>
      </x:c>
      <x:c r="V48" s="308" t="str">
        <x:v>Alta en política interna y regional sensible</x:v>
      </x:c>
      <x:c r="W48" s="308" t="str">
        <x:v>Reuters, AFP y medios árabes independientes</x:v>
      </x:c>
      <x:c r="X48" s="308" t="str">
        <x:v>Uso condicionado</x:v>
      </x:c>
      <x:c r="Y48" s="308"/>
      <x:c r="Z48" s="308" t="str">
        <x:v>https://gulfnews.com/</x:v>
      </x:c>
      <x:c r="AA48" s="310" t="n">
        <x:v>46219</x:v>
      </x:c>
    </x:row>
    <x:row r="49">
      <x:c r="A49" s="309" t="n">
        <x:v>17</x:v>
      </x:c>
      <x:c r="B49" s="312" t="str">
        <x:v>France 24</x:v>
      </x:c>
      <x:c r="C49" s="313" t="str">
        <x:v>https://www.france24.com/</x:v>
      </x:c>
      <x:c r="D49" s="308" t="str">
        <x:v>Francia; alcance global</x:v>
      </x:c>
      <x:c r="E49" s="308" t="str">
        <x:v>Global/Occidente</x:v>
      </x:c>
      <x:c r="F49" s="308" t="str">
        <x:v>Francés, inglés, árabe, español</x:v>
      </x:c>
      <x:c r="G49" s="308" t="str">
        <x:v>Radiodifusor público internacional</x:v>
      </x:c>
      <x:c r="H49" s="404" t="str">
        <x:v>Noticias internacionales</x:v>
      </x:c>
      <x:c r="I49" s="308" t="str">
        <x:v>Financiación pública francesa</x:v>
      </x:c>
      <x:c r="J49" s="308" t="str">
        <x:v>Público</x:v>
      </x:c>
      <x:c r="K49" s="308" t="str">
        <x:v>Centro</x:v>
      </x:c>
      <x:c r="L49" s="308" t="str">
        <x:v>Francesa / europea</x:v>
      </x:c>
      <x:c r="M49" s="309" t="n">
        <x:v>4</x:v>
      </x:c>
      <x:c r="N49" s="309" t="n">
        <x:v>4</x:v>
      </x:c>
      <x:c r="O49" s="309" t="n">
        <x:v>5</x:v>
      </x:c>
      <x:c r="P49" s="309" t="n">
        <x:v>4</x:v>
      </x:c>
      <x:c r="Q49" s="309" t="n">
        <x:v>4</x:v>
      </x:c>
      <x:c r="R49" s="309" t="n">
        <x:v>5</x:v>
      </x:c>
      <x:c r="S49" s="311" t="n">
        <x:v>4.3</x:v>
      </x:c>
      <x:c r="T49" s="309" t="str">
        <x:v>Alta</x:v>
      </x:c>
      <x:c r="U49" s="308" t="str">
        <x:v>Europa, África y Medio Oriente</x:v>
      </x:c>
      <x:c r="V49" s="308" t="str">
        <x:v>Moderada</x:v>
      </x:c>
      <x:c r="W49" s="308" t="str">
        <x:v>Agencias y fuentes locales</x:v>
      </x:c>
      <x:c r="X49" s="308" t="str">
        <x:v>Nuevo recomendado</x:v>
      </x:c>
      <x:c r="Y49" s="308"/>
      <x:c r="Z49" s="308" t="str">
        <x:v>https://www.france24.com/</x:v>
      </x:c>
      <x:c r="AA49" s="310" t="n">
        <x:v>46219</x:v>
      </x:c>
    </x:row>
    <x:row r="50">
      <x:c r="A50" s="309" t="n">
        <x:v>20</x:v>
      </x:c>
      <x:c r="B50" s="312" t="str">
        <x:v>Channel 13 (Israel)</x:v>
      </x:c>
      <x:c r="C50" s="313" t="str">
        <x:v>https://13tv.co.il/</x:v>
      </x:c>
      <x:c r="D50" s="308" t="str">
        <x:v>Israel</x:v>
      </x:c>
      <x:c r="E50" s="308" t="str">
        <x:v>Medio Oriente</x:v>
      </x:c>
      <x:c r="F50" s="308" t="str">
        <x:v>Hebreo</x:v>
      </x:c>
      <x:c r="G50" s="308" t="str">
        <x:v>Televisión comercial</x:v>
      </x:c>
      <x:c r="H50" s="404" t="str">
        <x:v>Noticias nacionales</x:v>
      </x:c>
      <x:c r="I50" s="308" t="str">
        <x:v>Privado comercial</x:v>
      </x:c>
      <x:c r="J50" s="308" t="str">
        <x:v>Privado</x:v>
      </x:c>
      <x:c r="K50" s="308" t="str">
        <x:v>Centro; variable por programa</x:v>
      </x:c>
      <x:c r="L50" s="308" t="str">
        <x:v>Israelí</x:v>
      </x:c>
      <x:c r="M50" s="309" t="n">
        <x:v>4</x:v>
      </x:c>
      <x:c r="N50" s="309" t="n">
        <x:v>4</x:v>
      </x:c>
      <x:c r="O50" s="309" t="n">
        <x:v>3</x:v>
      </x:c>
      <x:c r="P50" s="309" t="n">
        <x:v>4</x:v>
      </x:c>
      <x:c r="Q50" s="309" t="n">
        <x:v>4</x:v>
      </x:c>
      <x:c r="R50" s="309" t="n">
        <x:v>3</x:v>
      </x:c>
      <x:c r="S50" s="311" t="n">
        <x:v>3.7</x:v>
      </x:c>
      <x:c r="T50" s="309" t="str">
        <x:v>Media-alta</x:v>
      </x:c>
      <x:c r="U50" s="308" t="str">
        <x:v>Actualidad y debate político israelí</x:v>
      </x:c>
      <x:c r="V50" s="308" t="str">
        <x:v>Moderada</x:v>
      </x:c>
      <x:c r="W50" s="308" t="str">
        <x:v>Kan, N12, Haaretz, TOI y fuentes oficiales</x:v>
      </x:c>
      <x:c r="X50" s="308" t="str">
        <x:v>Activo</x:v>
      </x:c>
      <x:c r="Y50" s="308"/>
      <x:c r="Z50" s="308" t="str">
        <x:v>https://13tv.co.il/</x:v>
      </x:c>
      <x:c r="AA50" s="310" t="n">
        <x:v>46219</x:v>
      </x:c>
    </x:row>
    <x:row r="51">
      <x:c r="A51" s="309" t="n">
        <x:v>50</x:v>
      </x:c>
      <x:c r="B51" s="312" t="str">
        <x:v>Kyodo News</x:v>
      </x:c>
      <x:c r="C51" s="313" t="str">
        <x:v>https://english.kyodonews.net/</x:v>
      </x:c>
      <x:c r="D51" s="308" t="str">
        <x:v>Japón</x:v>
      </x:c>
      <x:c r="E51" s="308" t="str">
        <x:v>Asia</x:v>
      </x:c>
      <x:c r="F51" s="308" t="str">
        <x:v>Japonés/Inglés</x:v>
      </x:c>
      <x:c r="G51" s="308" t="str">
        <x:v>Agencia de noticias</x:v>
      </x:c>
      <x:c r="H51" s="404" t="str">
        <x:v>Noticias nacionales e internacionales</x:v>
      </x:c>
      <x:c r="I51" s="308" t="str">
        <x:v>Cooperativa de prensa</x:v>
      </x:c>
      <x:c r="J51" s="308" t="str">
        <x:v>Cooperativo</x:v>
      </x:c>
      <x:c r="K51" s="308" t="str">
        <x:v>Centro</x:v>
      </x:c>
      <x:c r="L51" s="308" t="str">
        <x:v>Japonesa</x:v>
      </x:c>
      <x:c r="M51" s="309" t="n">
        <x:v>5</x:v>
      </x:c>
      <x:c r="N51" s="309" t="n">
        <x:v>5</x:v>
      </x:c>
      <x:c r="O51" s="309" t="n">
        <x:v>5</x:v>
      </x:c>
      <x:c r="P51" s="309" t="n">
        <x:v>5</x:v>
      </x:c>
      <x:c r="Q51" s="309" t="n">
        <x:v>4</x:v>
      </x:c>
      <x:c r="R51" s="309" t="n">
        <x:v>5</x:v>
      </x:c>
      <x:c r="S51" s="311" t="n">
        <x:v>4.8</x:v>
      </x:c>
      <x:c r="T51" s="309" t="str">
        <x:v>Alta</x:v>
      </x:c>
      <x:c r="U51" s="308" t="str">
        <x:v>Japón y Asia Oriental</x:v>
      </x:c>
      <x:c r="V51" s="308" t="str">
        <x:v>Baja a moderada</x:v>
      </x:c>
      <x:c r="W51" s="308" t="str">
        <x:v>Reuters/AP y documentos oficiales</x:v>
      </x:c>
      <x:c r="X51" s="308" t="str">
        <x:v>Nuevo recomendado</x:v>
      </x:c>
      <x:c r="Y51" s="308"/>
      <x:c r="Z51" s="308" t="str">
        <x:v>https://english.kyodonews.net/</x:v>
      </x:c>
      <x:c r="AA51" s="310" t="n">
        <x:v>46219</x:v>
      </x:c>
    </x:row>
    <x:row r="52">
      <x:c r="A52" s="309" t="n">
        <x:v>24</x:v>
      </x:c>
      <x:c r="B52" s="312" t="str">
        <x:v>Kan (Israel)</x:v>
      </x:c>
      <x:c r="C52" s="313" t="str">
        <x:v>https://www.kan.org.il/</x:v>
      </x:c>
      <x:c r="D52" s="308" t="str">
        <x:v>Israel</x:v>
      </x:c>
      <x:c r="E52" s="308" t="str">
        <x:v>Medio Oriente</x:v>
      </x:c>
      <x:c r="F52" s="308" t="str">
        <x:v>Hebreo/Árabe</x:v>
      </x:c>
      <x:c r="G52" s="308" t="str">
        <x:v>Radiodifusor público</x:v>
      </x:c>
      <x:c r="H52" s="404" t="str">
        <x:v>Noticias nacionales e internacionales</x:v>
      </x:c>
      <x:c r="I52" s="308" t="str">
        <x:v>Financiación pública</x:v>
      </x:c>
      <x:c r="J52" s="308" t="str">
        <x:v>Público</x:v>
      </x:c>
      <x:c r="K52" s="308" t="str">
        <x:v>Centro; plural</x:v>
      </x:c>
      <x:c r="L52" s="308" t="str">
        <x:v>Israelí / servicio público</x:v>
      </x:c>
      <x:c r="M52" s="309" t="n">
        <x:v>4</x:v>
      </x:c>
      <x:c r="N52" s="309" t="n">
        <x:v>4</x:v>
      </x:c>
      <x:c r="O52" s="309" t="n">
        <x:v>5</x:v>
      </x:c>
      <x:c r="P52" s="309" t="n">
        <x:v>4</x:v>
      </x:c>
      <x:c r="Q52" s="309" t="n">
        <x:v>4</x:v>
      </x:c>
      <x:c r="R52" s="309" t="n">
        <x:v>4</x:v>
      </x:c>
      <x:c r="S52" s="311" t="n">
        <x:v>4.2</x:v>
      </x:c>
      <x:c r="T52" s="309" t="str">
        <x:v>Media-alta</x:v>
      </x:c>
      <x:c r="U52" s="308" t="str">
        <x:v>Cobertura nacional y fuente audiovisual pública</x:v>
      </x:c>
      <x:c r="V52" s="308" t="str">
        <x:v>Moderada</x:v>
      </x:c>
      <x:c r="W52" s="308" t="str">
        <x:v>N12, Channel 13 y prensa escrita</x:v>
      </x:c>
      <x:c r="X52" s="308" t="str">
        <x:v>Activo</x:v>
      </x:c>
      <x:c r="Y52" s="308"/>
      <x:c r="Z52" s="308" t="str">
        <x:v>https://www.kan.org.il/</x:v>
      </x:c>
      <x:c r="AA52" s="310" t="n">
        <x:v>46219</x:v>
      </x:c>
    </x:row>
    <x:row r="53">
      <x:c r="A53" s="309" t="n">
        <x:v>27</x:v>
      </x:c>
      <x:c r="B53" s="312" t="str">
        <x:v>N12 (Israel)</x:v>
      </x:c>
      <x:c r="C53" s="313" t="str">
        <x:v>https://www.n12.co.il/</x:v>
      </x:c>
      <x:c r="D53" s="308" t="str">
        <x:v>Israel</x:v>
      </x:c>
      <x:c r="E53" s="308" t="str">
        <x:v>Medio Oriente</x:v>
      </x:c>
      <x:c r="F53" s="308" t="str">
        <x:v>Hebreo</x:v>
      </x:c>
      <x:c r="G53" s="308" t="str">
        <x:v>Portal de noticias de televisión</x:v>
      </x:c>
      <x:c r="H53" s="404" t="str">
        <x:v>Noticias nacionales y breaking news</x:v>
      </x:c>
      <x:c r="I53" s="308" t="str">
        <x:v>Privado comercial</x:v>
      </x:c>
      <x:c r="J53" s="308" t="str">
        <x:v>Privado</x:v>
      </x:c>
      <x:c r="K53" s="308" t="str">
        <x:v>Centro; variable por programa</x:v>
      </x:c>
      <x:c r="L53" s="308" t="str">
        <x:v>Israelí</x:v>
      </x:c>
      <x:c r="M53" s="309" t="n">
        <x:v>4</x:v>
      </x:c>
      <x:c r="N53" s="309" t="n">
        <x:v>3</x:v>
      </x:c>
      <x:c r="O53" s="309" t="n">
        <x:v>3</x:v>
      </x:c>
      <x:c r="P53" s="309" t="n">
        <x:v>4</x:v>
      </x:c>
      <x:c r="Q53" s="309" t="n">
        <x:v>4</x:v>
      </x:c>
      <x:c r="R53" s="309" t="n">
        <x:v>3</x:v>
      </x:c>
      <x:c r="S53" s="311" t="n">
        <x:v>3.5</x:v>
      </x:c>
      <x:c r="T53" s="309" t="str">
        <x:v>Media-alta</x:v>
      </x:c>
      <x:c r="U53" s="308" t="str">
        <x:v>Noticias urgentes y política israelí</x:v>
      </x:c>
      <x:c r="V53" s="308" t="str">
        <x:v>Moderada</x:v>
      </x:c>
      <x:c r="W53" s="308" t="str">
        <x:v>Kan, Channel 13 y documentos oficiales</x:v>
      </x:c>
      <x:c r="X53" s="308" t="str">
        <x:v>Activo</x:v>
      </x:c>
      <x:c r="Y53" s="308"/>
      <x:c r="Z53" s="308" t="str">
        <x:v>https://www.n12.co.il/</x:v>
      </x:c>
      <x:c r="AA53" s="310" t="n">
        <x:v>46219</x:v>
      </x:c>
    </x:row>
    <x:row r="54">
      <x:c r="A54" s="309" t="n">
        <x:v>29</x:v>
      </x:c>
      <x:c r="B54" s="312" t="str">
        <x:v>Ynet</x:v>
      </x:c>
      <x:c r="C54" s="313" t="str">
        <x:v>https://www.ynetnews.com/</x:v>
      </x:c>
      <x:c r="D54" s="308" t="str">
        <x:v>Israel</x:v>
      </x:c>
      <x:c r="E54" s="308" t="str">
        <x:v>Medio Oriente</x:v>
      </x:c>
      <x:c r="F54" s="308" t="str">
        <x:v>Hebreo/Inglés</x:v>
      </x:c>
      <x:c r="G54" s="308" t="str">
        <x:v>Portal generalista</x:v>
      </x:c>
      <x:c r="H54" s="404" t="str">
        <x:v>Noticias nacionales y opinión</x:v>
      </x:c>
      <x:c r="I54" s="308" t="str">
        <x:v>Privado comercial</x:v>
      </x:c>
      <x:c r="J54" s="308" t="str">
        <x:v>Privado</x:v>
      </x:c>
      <x:c r="K54" s="308" t="str">
        <x:v>Centro</x:v>
      </x:c>
      <x:c r="L54" s="308" t="str">
        <x:v>Israelí</x:v>
      </x:c>
      <x:c r="M54" s="309" t="n">
        <x:v>4</x:v>
      </x:c>
      <x:c r="N54" s="309" t="n">
        <x:v>3</x:v>
      </x:c>
      <x:c r="O54" s="309" t="n">
        <x:v>3</x:v>
      </x:c>
      <x:c r="P54" s="309" t="n">
        <x:v>4</x:v>
      </x:c>
      <x:c r="Q54" s="309" t="n">
        <x:v>3</x:v>
      </x:c>
      <x:c r="R54" s="309" t="n">
        <x:v>3</x:v>
      </x:c>
      <x:c r="S54" s="311" t="n">
        <x:v>3.3</x:v>
      </x:c>
      <x:c r="T54" s="309" t="str">
        <x:v>Media</x:v>
      </x:c>
      <x:c r="U54" s="308" t="str">
        <x:v>Actualidad israelí de amplio alcance</x:v>
      </x:c>
      <x:c r="V54" s="308" t="str">
        <x:v>Moderada</x:v>
      </x:c>
      <x:c r="W54" s="308" t="str">
        <x:v>Kan, N12, Haaretz y fuentes oficiales</x:v>
      </x:c>
      <x:c r="X54" s="308" t="str">
        <x:v>Activo</x:v>
      </x:c>
      <x:c r="Y54" s="308"/>
      <x:c r="Z54" s="308" t="str">
        <x:v>https://www.ynetnews.com/</x:v>
      </x:c>
      <x:c r="AA54" s="310" t="n">
        <x:v>46219</x:v>
      </x:c>
    </x:row>
    <x:row r="55">
      <x:c r="A55" s="309" t="n">
        <x:v>51</x:v>
      </x:c>
      <x:c r="B55" s="312" t="str">
        <x:v>Yonhap News Agency</x:v>
      </x:c>
      <x:c r="C55" s="313" t="str">
        <x:v>https://en.yna.co.kr/</x:v>
      </x:c>
      <x:c r="D55" s="308" t="str">
        <x:v>Corea del Sur</x:v>
      </x:c>
      <x:c r="E55" s="308" t="str">
        <x:v>Asia</x:v>
      </x:c>
      <x:c r="F55" s="308" t="str">
        <x:v>Coreano/Inglés</x:v>
      </x:c>
      <x:c r="G55" s="308" t="str">
        <x:v>Agencia de noticias</x:v>
      </x:c>
      <x:c r="H55" s="404" t="str">
        <x:v>Noticias nacionales y regionales</x:v>
      </x:c>
      <x:c r="I55" s="308" t="str">
        <x:v>Agencia con apoyo público</x:v>
      </x:c>
      <x:c r="J55" s="308" t="str">
        <x:v>Institucional</x:v>
      </x:c>
      <x:c r="K55" s="308" t="str">
        <x:v>Centro / institucional</x:v>
      </x:c>
      <x:c r="L55" s="308" t="str">
        <x:v>Surcoreana</x:v>
      </x:c>
      <x:c r="M55" s="309" t="n">
        <x:v>4</x:v>
      </x:c>
      <x:c r="N55" s="309" t="n">
        <x:v>3</x:v>
      </x:c>
      <x:c r="O55" s="309" t="n">
        <x:v>4</x:v>
      </x:c>
      <x:c r="P55" s="309" t="n">
        <x:v>4</x:v>
      </x:c>
      <x:c r="Q55" s="309" t="n">
        <x:v>4</x:v>
      </x:c>
      <x:c r="R55" s="309" t="n">
        <x:v>5</x:v>
      </x:c>
      <x:c r="S55" s="311" t="n">
        <x:v>4</x:v>
      </x:c>
      <x:c r="T55" s="309" t="str">
        <x:v>Media-alta</x:v>
      </x:c>
      <x:c r="U55" s="308" t="str">
        <x:v>Corea y península coreana</x:v>
      </x:c>
      <x:c r="V55" s="308" t="str">
        <x:v>Moderada</x:v>
      </x:c>
      <x:c r="W55" s="308" t="str">
        <x:v>Reuters, KCNA como fuente primaria y medios regionales</x:v>
      </x:c>
      <x:c r="X55" s="308" t="str">
        <x:v>Nuevo recomendado</x:v>
      </x:c>
      <x:c r="Y55" s="308"/>
      <x:c r="Z55" s="308" t="str">
        <x:v>https://en.yna.co.kr/</x:v>
      </x:c>
      <x:c r="AA55" s="310" t="n">
        <x:v>46219</x:v>
      </x:c>
    </x:row>
    <x:row r="56">
      <x:c r="A56" s="309" t="n">
        <x:v>92</x:v>
      </x:c>
      <x:c r="B56" s="312" t="str">
        <x:v>The Namibian</x:v>
      </x:c>
      <x:c r="C56" s="313" t="str">
        <x:v>https://www.namibian.com.na/</x:v>
      </x:c>
      <x:c r="D56" s="308" t="str">
        <x:v>Namibia</x:v>
      </x:c>
      <x:c r="E56" s="308" t="str">
        <x:v>África Austral</x:v>
      </x:c>
      <x:c r="F56" s="308" t="str">
        <x:v>Inglés/Oshiwambo</x:v>
      </x:c>
      <x:c r="G56" s="308" t="str">
        <x:v>Medio generalista</x:v>
      </x:c>
      <x:c r="H56" s="404" t="str">
        <x:v>Noticias nacionales, investigación y economía</x:v>
      </x:c>
      <x:c r="I56" s="308" t="str">
        <x:v>The Free Press of Namibia (Pty) Ltd.</x:v>
      </x:c>
      <x:c r="J56" s="308" t="str">
        <x:v>Privado</x:v>
      </x:c>
      <x:c r="K56" s="308" t="str">
        <x:v>Liberal / independencia y democracia</x:v>
      </x:c>
      <x:c r="L56" s="308" t="str">
        <x:v>Namibia / África Austral</x:v>
      </x:c>
      <x:c r="M56" s="309" t="n">
        <x:v>4</x:v>
      </x:c>
      <x:c r="N56" s="309" t="n">
        <x:v>4</x:v>
      </x:c>
      <x:c r="O56" s="309" t="n">
        <x:v>4</x:v>
      </x:c>
      <x:c r="P56" s="309" t="n">
        <x:v>4</x:v>
      </x:c>
      <x:c r="Q56" s="309" t="n">
        <x:v>4</x:v>
      </x:c>
      <x:c r="R56" s="309" t="n">
        <x:v>4</x:v>
      </x:c>
      <x:c r="S56" s="311" t="n">
        <x:v>4</x:v>
      </x:c>
      <x:c r="T56" s="309" t="str">
        <x:v>Media-alta</x:v>
      </x:c>
      <x:c r="U56" s="308" t="str">
        <x:v>Namibia, recursos naturales, economía y política regional</x:v>
      </x:c>
      <x:c r="V56" s="308" t="str">
        <x:v>Moderada</x:v>
      </x:c>
      <x:c r="W56" s="308" t="str">
        <x:v>Documentos, agencias y medios de África Austral</x:v>
      </x:c>
      <x:c r="X56" s="308" t="str">
        <x:v>Nuevo recomendado</x:v>
      </x:c>
      <x:c r="Y56" s="308" t="str">
        <x:v>Diario de amplia implantación nacional con trayectoria vinculada a la independencia y la prensa libre.</x:v>
      </x:c>
      <x:c r="Z56" s="308" t="str">
        <x:v>https://www.namibian.com.na/about-us/</x:v>
      </x:c>
      <x:c r="AA56" s="310" t="n">
        <x:v>46219</x:v>
      </x:c>
    </x:row>
    <x:row r="57">
      <x:c r="A57" s="309" t="n">
        <x:v>54</x:v>
      </x:c>
      <x:c r="B57" s="312" t="str">
        <x:v>The Hindu</x:v>
      </x:c>
      <x:c r="C57" s="313" t="str">
        <x:v>https://www.thehindu.com/</x:v>
      </x:c>
      <x:c r="D57" s="308" t="str">
        <x:v>India</x:v>
      </x:c>
      <x:c r="E57" s="308" t="str">
        <x:v>Asia</x:v>
      </x:c>
      <x:c r="F57" s="308" t="str">
        <x:v>Inglés</x:v>
      </x:c>
      <x:c r="G57" s="308" t="str">
        <x:v>Medio generalista</x:v>
      </x:c>
      <x:c r="H57" s="404" t="str">
        <x:v>Noticias y análisis</x:v>
      </x:c>
      <x:c r="I57" s="308" t="str">
        <x:v>Privado comercial</x:v>
      </x:c>
      <x:c r="J57" s="308" t="str">
        <x:v>Privado</x:v>
      </x:c>
      <x:c r="K57" s="308" t="str">
        <x:v>Centro-izquierda / institucional</x:v>
      </x:c>
      <x:c r="L57" s="308" t="str">
        <x:v>India</x:v>
      </x:c>
      <x:c r="M57" s="309" t="n">
        <x:v>4</x:v>
      </x:c>
      <x:c r="N57" s="309" t="n">
        <x:v>4</x:v>
      </x:c>
      <x:c r="O57" s="309" t="n">
        <x:v>4</x:v>
      </x:c>
      <x:c r="P57" s="309" t="n">
        <x:v>4</x:v>
      </x:c>
      <x:c r="Q57" s="309" t="n">
        <x:v>4</x:v>
      </x:c>
      <x:c r="R57" s="309" t="n">
        <x:v>4</x:v>
      </x:c>
      <x:c r="S57" s="311" t="n">
        <x:v>4</x:v>
      </x:c>
      <x:c r="T57" s="309" t="str">
        <x:v>Media-alta</x:v>
      </x:c>
      <x:c r="U57" s="308" t="str">
        <x:v>India y Asia del Sur</x:v>
      </x:c>
      <x:c r="V57" s="308" t="str">
        <x:v>Moderada</x:v>
      </x:c>
      <x:c r="W57" s="308" t="str">
        <x:v>Reuters, PTI y medios regionales</x:v>
      </x:c>
      <x:c r="X57" s="308" t="str">
        <x:v>Nuevo recomendado</x:v>
      </x:c>
      <x:c r="Y57" s="308"/>
      <x:c r="Z57" s="308" t="str">
        <x:v>https://www.thehindu.com/</x:v>
      </x:c>
      <x:c r="AA57" s="310" t="n">
        <x:v>46219</x:v>
      </x:c>
    </x:row>
    <x:row r="58">
      <x:c r="A58" s="309" t="n">
        <x:v>28</x:v>
      </x:c>
      <x:c r="B58" s="312" t="str">
        <x:v>The Times of Israel</x:v>
      </x:c>
      <x:c r="C58" s="313" t="str">
        <x:v>https://www.timesofisrael.com/</x:v>
      </x:c>
      <x:c r="D58" s="308" t="str">
        <x:v>Israel; alcance internacional</x:v>
      </x:c>
      <x:c r="E58" s="308" t="str">
        <x:v>Medio Oriente</x:v>
      </x:c>
      <x:c r="F58" s="308" t="str">
        <x:v>Inglés/Hebreo/Árabe</x:v>
      </x:c>
      <x:c r="G58" s="308" t="str">
        <x:v>Medio digital generalista</x:v>
      </x:c>
      <x:c r="H58" s="404" t="str">
        <x:v>Noticias y análisis</x:v>
      </x:c>
      <x:c r="I58" s="308" t="str">
        <x:v>Privado/independiente</x:v>
      </x:c>
      <x:c r="J58" s="308" t="str">
        <x:v>Privado</x:v>
      </x:c>
      <x:c r="K58" s="308" t="str">
        <x:v>Centro liberal</x:v>
      </x:c>
      <x:c r="L58" s="308" t="str">
        <x:v>Israelí / diáspora judía</x:v>
      </x:c>
      <x:c r="M58" s="309" t="n">
        <x:v>4</x:v>
      </x:c>
      <x:c r="N58" s="309" t="n">
        <x:v>4</x:v>
      </x:c>
      <x:c r="O58" s="309" t="n">
        <x:v>4</x:v>
      </x:c>
      <x:c r="P58" s="309" t="n">
        <x:v>4</x:v>
      </x:c>
      <x:c r="Q58" s="309" t="n">
        <x:v>4</x:v>
      </x:c>
      <x:c r="R58" s="309" t="n">
        <x:v>4</x:v>
      </x:c>
      <x:c r="S58" s="311" t="n">
        <x:v>4</x:v>
      </x:c>
      <x:c r="T58" s="309" t="str">
        <x:v>Media-alta</x:v>
      </x:c>
      <x:c r="U58" s="308" t="str">
        <x:v>Israel y Medio Oriente para audiencia internacional</x:v>
      </x:c>
      <x:c r="V58" s="308" t="str">
        <x:v>Moderada</x:v>
      </x:c>
      <x:c r="W58" s="308" t="str">
        <x:v>Reuters, Kan, medios árabes y documentos</x:v>
      </x:c>
      <x:c r="X58" s="308" t="str">
        <x:v>Activo</x:v>
      </x:c>
      <x:c r="Y58" s="308"/>
      <x:c r="Z58" s="308" t="str">
        <x:v>https://www.timesofisrael.com/</x:v>
      </x:c>
      <x:c r="AA58" s="310" t="n">
        <x:v>46219</x:v>
      </x:c>
    </x:row>
    <x:row r="59">
      <x:c r="A59" s="309" t="n">
        <x:v>5</x:v>
      </x:c>
      <x:c r="B59" s="312" t="str">
        <x:v>La Vanguardia</x:v>
      </x:c>
      <x:c r="C59" s="313" t="str">
        <x:v>https://www.lavanguardia.com/</x:v>
      </x:c>
      <x:c r="D59" s="308" t="str">
        <x:v>España</x:v>
      </x:c>
      <x:c r="E59" s="308" t="str">
        <x:v>Occidente</x:v>
      </x:c>
      <x:c r="F59" s="308" t="str">
        <x:v>Español</x:v>
      </x:c>
      <x:c r="G59" s="308" t="str">
        <x:v>Medio generalista</x:v>
      </x:c>
      <x:c r="H59" s="404" t="str">
        <x:v>Noticias y análisis</x:v>
      </x:c>
      <x:c r="I59" s="308" t="str">
        <x:v>Privado comercial</x:v>
      </x:c>
      <x:c r="J59" s="308" t="str">
        <x:v>Privado</x:v>
      </x:c>
      <x:c r="K59" s="308" t="str">
        <x:v>Centro liberal</x:v>
      </x:c>
      <x:c r="L59" s="308" t="str">
        <x:v>España / Europa</x:v>
      </x:c>
      <x:c r="M59" s="309" t="n">
        <x:v>4</x:v>
      </x:c>
      <x:c r="N59" s="309" t="n">
        <x:v>4</x:v>
      </x:c>
      <x:c r="O59" s="309" t="n">
        <x:v>4</x:v>
      </x:c>
      <x:c r="P59" s="309" t="n">
        <x:v>4</x:v>
      </x:c>
      <x:c r="Q59" s="309" t="n">
        <x:v>4</x:v>
      </x:c>
      <x:c r="R59" s="309" t="n">
        <x:v>4</x:v>
      </x:c>
      <x:c r="S59" s="311" t="n">
        <x:v>4</x:v>
      </x:c>
      <x:c r="T59" s="309" t="str">
        <x:v>Media-alta</x:v>
      </x:c>
      <x:c r="U59" s="308" t="str">
        <x:v>España, Europa y contexto internacional</x:v>
      </x:c>
      <x:c r="V59" s="308" t="str">
        <x:v>Moderada</x:v>
      </x:c>
      <x:c r="W59" s="308" t="str">
        <x:v>Agencias y prensa internacional</x:v>
      </x:c>
      <x:c r="X59" s="308" t="str">
        <x:v>Activo</x:v>
      </x:c>
      <x:c r="Y59" s="308"/>
      <x:c r="Z59" s="308" t="str">
        <x:v>https://www.lavanguardia.com/</x:v>
      </x:c>
      <x:c r="AA59" s="310" t="n">
        <x:v>46219</x:v>
      </x:c>
    </x:row>
    <x:row r="60">
      <x:c r="A60" s="309" t="n">
        <x:v>48</x:v>
      </x:c>
      <x:c r="B60" s="312" t="str">
        <x:v>CNA</x:v>
      </x:c>
      <x:c r="C60" s="313" t="str">
        <x:v>https://www.channelnewsasia.com/</x:v>
      </x:c>
      <x:c r="D60" s="308" t="str">
        <x:v>Singapur; alcance regional</x:v>
      </x:c>
      <x:c r="E60" s="308" t="str">
        <x:v>Asia</x:v>
      </x:c>
      <x:c r="F60" s="308" t="str">
        <x:v>Inglés y lenguas regionales</x:v>
      </x:c>
      <x:c r="G60" s="308" t="str">
        <x:v>Radiodifusor regional</x:v>
      </x:c>
      <x:c r="H60" s="404" t="str">
        <x:v>Noticias y análisis del Sudeste Asiático</x:v>
      </x:c>
      <x:c r="I60" s="308" t="str">
        <x:v>Empresa de medios con vínculo público</x:v>
      </x:c>
      <x:c r="J60" s="308" t="str">
        <x:v>Público/comercial</x:v>
      </x:c>
      <x:c r="K60" s="308" t="str">
        <x:v>Centro / institucional</x:v>
      </x:c>
      <x:c r="L60" s="308" t="str">
        <x:v>Singapur / ASEAN</x:v>
      </x:c>
      <x:c r="M60" s="309" t="n">
        <x:v>4</x:v>
      </x:c>
      <x:c r="N60" s="309" t="n">
        <x:v>3</x:v>
      </x:c>
      <x:c r="O60" s="309" t="n">
        <x:v>4</x:v>
      </x:c>
      <x:c r="P60" s="309" t="n">
        <x:v>4</x:v>
      </x:c>
      <x:c r="Q60" s="309" t="n">
        <x:v>4</x:v>
      </x:c>
      <x:c r="R60" s="309" t="n">
        <x:v>5</x:v>
      </x:c>
      <x:c r="S60" s="311" t="n">
        <x:v>4</x:v>
      </x:c>
      <x:c r="T60" s="309" t="str">
        <x:v>Media-alta</x:v>
      </x:c>
      <x:c r="U60" s="308" t="str">
        <x:v>Sudeste Asiático y ASEAN</x:v>
      </x:c>
      <x:c r="V60" s="308" t="str">
        <x:v>Moderada</x:v>
      </x:c>
      <x:c r="W60" s="308" t="str">
        <x:v>Reuters, medios nacionales y fuentes locales</x:v>
      </x:c>
      <x:c r="X60" s="308" t="str">
        <x:v>Nuevo recomendado</x:v>
      </x:c>
      <x:c r="Y60" s="308"/>
      <x:c r="Z60" s="308" t="str">
        <x:v>https://www.channelnewsasia.com/</x:v>
      </x:c>
      <x:c r="AA60" s="310" t="n">
        <x:v>46219</x:v>
      </x:c>
    </x:row>
    <x:row r="61">
      <x:c r="A61" s="309" t="n">
        <x:v>46</x:v>
      </x:c>
      <x:c r="B61" s="312" t="str">
        <x:v>Xinhua News Agency</x:v>
      </x:c>
      <x:c r="C61" s="313" t="str">
        <x:v>https://english.news.cn/</x:v>
      </x:c>
      <x:c r="D61" s="308" t="str">
        <x:v>China; red global</x:v>
      </x:c>
      <x:c r="E61" s="308" t="str">
        <x:v>Asia/Global</x:v>
      </x:c>
      <x:c r="F61" s="308" t="str">
        <x:v>Chino/Inglés</x:v>
      </x:c>
      <x:c r="G61" s="308" t="str">
        <x:v>Agencia estatal</x:v>
      </x:c>
      <x:c r="H61" s="404" t="str">
        <x:v>Noticias y comunicación oficial</x:v>
      </x:c>
      <x:c r="I61" s="308" t="str">
        <x:v>Financiación estatal china</x:v>
      </x:c>
      <x:c r="J61" s="308" t="str">
        <x:v>Estatal</x:v>
      </x:c>
      <x:c r="K61" s="308" t="str">
        <x:v>Línea oficial</x:v>
      </x:c>
      <x:c r="L61" s="308" t="str">
        <x:v>China estatal</x:v>
      </x:c>
      <x:c r="M61" s="309" t="n">
        <x:v>3</x:v>
      </x:c>
      <x:c r="N61" s="309" t="n">
        <x:v>1</x:v>
      </x:c>
      <x:c r="O61" s="309" t="n">
        <x:v>4</x:v>
      </x:c>
      <x:c r="P61" s="309" t="n">
        <x:v>3</x:v>
      </x:c>
      <x:c r="Q61" s="309" t="n">
        <x:v>2</x:v>
      </x:c>
      <x:c r="R61" s="309" t="n">
        <x:v>2</x:v>
      </x:c>
      <x:c r="S61" s="311" t="n">
        <x:v>2.5</x:v>
      </x:c>
      <x:c r="T61" s="309" t="str">
        <x:v>Baja</x:v>
      </x:c>
      <x:c r="U61" s="308" t="str">
        <x:v>Posiciones oficiales y datos publicados por China</x:v>
      </x:c>
      <x:c r="V61" s="308" t="str">
        <x:v>Obligatoria</x:v>
      </x:c>
      <x:c r="W61" s="308" t="str">
        <x:v>Reuters/AP, Caixin, Nikkei y documentos</x:v>
      </x:c>
      <x:c r="X61" s="308" t="str">
        <x:v>Uso condicionado</x:v>
      </x:c>
      <x:c r="Y61" s="308"/>
      <x:c r="Z61" s="308" t="str">
        <x:v>https://english.news.cn/</x:v>
      </x:c>
      <x:c r="AA61" s="310" t="n">
        <x:v>46219</x:v>
      </x:c>
    </x:row>
    <x:row r="62">
      <x:c r="A62" s="309" t="n">
        <x:v>86</x:v>
      </x:c>
      <x:c r="B62" s="312" t="str">
        <x:v>Addis Standard</x:v>
      </x:c>
      <x:c r="C62" s="313" t="str">
        <x:v>https://addisstandard.com/</x:v>
      </x:c>
      <x:c r="D62" s="308" t="str">
        <x:v>Etiopía</x:v>
      </x:c>
      <x:c r="E62" s="308" t="str">
        <x:v>África Oriental / Cuerno de África</x:v>
      </x:c>
      <x:c r="F62" s="308" t="str">
        <x:v>Inglés/Afaan Oromoo/Amárico</x:v>
      </x:c>
      <x:c r="G62" s="308" t="str">
        <x:v>Medio independiente</x:v>
      </x:c>
      <x:c r="H62" s="404" t="str">
        <x:v>Noticias y contenido de interés público</x:v>
      </x:c>
      <x:c r="I62" s="308" t="str">
        <x:v>Publicación privada independiente</x:v>
      </x:c>
      <x:c r="J62" s="308" t="str">
        <x:v>Independiente</x:v>
      </x:c>
      <x:c r="K62" s="308" t="str">
        <x:v>Reformista / derechos civiles</x:v>
      </x:c>
      <x:c r="L62" s="308" t="str">
        <x:v>Etíope / Cuerno de África</x:v>
      </x:c>
      <x:c r="M62" s="309" t="n">
        <x:v>4</x:v>
      </x:c>
      <x:c r="N62" s="309" t="n">
        <x:v>4</x:v>
      </x:c>
      <x:c r="O62" s="309" t="n">
        <x:v>4</x:v>
      </x:c>
      <x:c r="P62" s="309" t="n">
        <x:v>4</x:v>
      </x:c>
      <x:c r="Q62" s="309" t="n">
        <x:v>3</x:v>
      </x:c>
      <x:c r="R62" s="309" t="n">
        <x:v>4</x:v>
      </x:c>
      <x:c r="S62" s="311" t="n">
        <x:v>3.8</x:v>
      </x:c>
      <x:c r="T62" s="309" t="str">
        <x:v>Media-alta</x:v>
      </x:c>
      <x:c r="U62" s="308" t="str">
        <x:v>Etiopía, Unión Africana y Cuerno de África</x:v>
      </x:c>
      <x:c r="V62" s="308" t="str">
        <x:v>Alta en conflictos y política interna</x:v>
      </x:c>
      <x:c r="W62" s="308" t="str">
        <x:v>Reuters/AP, medios regionales, AU, ONU y fuentes oficiales</x:v>
      </x:c>
      <x:c r="X62" s="308" t="str">
        <x:v>Nuevo recomendado</x:v>
      </x:c>
      <x:c r="Y62" s="308" t="str">
        <x:v>Útil por acceso local y cobertura trilingüe; el entorno político etíope exige triangulación reforzada.</x:v>
      </x:c>
      <x:c r="Z62" s="308" t="str">
        <x:v>https://addisstandard.com/about-us/</x:v>
      </x:c>
      <x:c r="AA62" s="310" t="n">
        <x:v>46219</x:v>
      </x:c>
    </x:row>
    <x:row r="63">
      <x:c r="A63" s="309" t="n">
        <x:v>49</x:v>
      </x:c>
      <x:c r="B63" s="312" t="str">
        <x:v>NHK World-Japan</x:v>
      </x:c>
      <x:c r="C63" s="313" t="str">
        <x:v>https://www3.nhk.or.jp/nhkworld/</x:v>
      </x:c>
      <x:c r="D63" s="308" t="str">
        <x:v>Japón; alcance global</x:v>
      </x:c>
      <x:c r="E63" s="308" t="str">
        <x:v>Asia/Global</x:v>
      </x:c>
      <x:c r="F63" s="308" t="str">
        <x:v>Multilingüe</x:v>
      </x:c>
      <x:c r="G63" s="308" t="str">
        <x:v>Radiodifusor público internacional</x:v>
      </x:c>
      <x:c r="H63" s="404" t="str">
        <x:v>Noticias y contexto</x:v>
      </x:c>
      <x:c r="I63" s="308" t="str">
        <x:v>Financiación pública</x:v>
      </x:c>
      <x:c r="J63" s="308" t="str">
        <x:v>Público</x:v>
      </x:c>
      <x:c r="K63" s="308" t="str">
        <x:v>Centro / institucional</x:v>
      </x:c>
      <x:c r="L63" s="308" t="str">
        <x:v>Japonesa</x:v>
      </x:c>
      <x:c r="M63" s="309" t="n">
        <x:v>4</x:v>
      </x:c>
      <x:c r="N63" s="309" t="n">
        <x:v>4</x:v>
      </x:c>
      <x:c r="O63" s="309" t="n">
        <x:v>5</x:v>
      </x:c>
      <x:c r="P63" s="309" t="n">
        <x:v>4</x:v>
      </x:c>
      <x:c r="Q63" s="309" t="n">
        <x:v>4</x:v>
      </x:c>
      <x:c r="R63" s="309" t="n">
        <x:v>5</x:v>
      </x:c>
      <x:c r="S63" s="311" t="n">
        <x:v>4.3</x:v>
      </x:c>
      <x:c r="T63" s="309" t="str">
        <x:v>Alta</x:v>
      </x:c>
      <x:c r="U63" s="308" t="str">
        <x:v>Japón y Asia Oriental</x:v>
      </x:c>
      <x:c r="V63" s="308" t="str">
        <x:v>Moderada</x:v>
      </x:c>
      <x:c r="W63" s="308" t="str">
        <x:v>Kyodo, Reuters y medios regionales</x:v>
      </x:c>
      <x:c r="X63" s="308" t="str">
        <x:v>Nuevo recomendado</x:v>
      </x:c>
      <x:c r="Y63" s="308"/>
      <x:c r="Z63" s="308" t="str">
        <x:v>https://www3.nhk.or.jp/nhkworld/</x:v>
      </x:c>
      <x:c r="AA63" s="310" t="n">
        <x:v>46219</x:v>
      </x:c>
    </x:row>
    <x:row r="64">
      <x:c r="A64" s="309" t="n">
        <x:v>16</x:v>
      </x:c>
      <x:c r="B64" s="312" t="str">
        <x:v>Deutsche Welle</x:v>
      </x:c>
      <x:c r="C64" s="313" t="str">
        <x:v>https://www.dw.com/</x:v>
      </x:c>
      <x:c r="D64" s="308" t="str">
        <x:v>Alemania; alcance global</x:v>
      </x:c>
      <x:c r="E64" s="308" t="str">
        <x:v>Global/Occidente</x:v>
      </x:c>
      <x:c r="F64" s="308" t="str">
        <x:v>Multilingüe</x:v>
      </x:c>
      <x:c r="G64" s="308" t="str">
        <x:v>Radiodifusor público internacional</x:v>
      </x:c>
      <x:c r="H64" s="404" t="str">
        <x:v>Noticias y contexto</x:v>
      </x:c>
      <x:c r="I64" s="308" t="str">
        <x:v>Financiación pública alemana</x:v>
      </x:c>
      <x:c r="J64" s="308" t="str">
        <x:v>Público</x:v>
      </x:c>
      <x:c r="K64" s="308" t="str">
        <x:v>Centro</x:v>
      </x:c>
      <x:c r="L64" s="308" t="str">
        <x:v>Europea / alemana</x:v>
      </x:c>
      <x:c r="M64" s="309" t="n">
        <x:v>4</x:v>
      </x:c>
      <x:c r="N64" s="309" t="n">
        <x:v>4</x:v>
      </x:c>
      <x:c r="O64" s="309" t="n">
        <x:v>5</x:v>
      </x:c>
      <x:c r="P64" s="309" t="n">
        <x:v>4</x:v>
      </x:c>
      <x:c r="Q64" s="309" t="n">
        <x:v>5</x:v>
      </x:c>
      <x:c r="R64" s="309" t="n">
        <x:v>5</x:v>
      </x:c>
      <x:c r="S64" s="311" t="n">
        <x:v>4.5</x:v>
      </x:c>
      <x:c r="T64" s="309" t="str">
        <x:v>Alta</x:v>
      </x:c>
      <x:c r="U64" s="308" t="str">
        <x:v>Europa, Alemania y cobertura multilingüe</x:v>
      </x:c>
      <x:c r="V64" s="308" t="str">
        <x:v>Moderada</x:v>
      </x:c>
      <x:c r="W64" s="308" t="str">
        <x:v>Agencias y medios locales</x:v>
      </x:c>
      <x:c r="X64" s="308" t="str">
        <x:v>Nuevo recomendado</x:v>
      </x:c>
      <x:c r="Y64" s="308"/>
      <x:c r="Z64" s="308" t="str">
        <x:v>https://www.dw.com/</x:v>
      </x:c>
      <x:c r="AA64" s="310" t="n">
        <x:v>46219</x:v>
      </x:c>
    </x:row>
    <x:row r="65">
      <x:c r="A65" s="309" t="n">
        <x:v>1</x:v>
      </x:c>
      <x:c r="B65" s="312" t="str">
        <x:v>Axios</x:v>
      </x:c>
      <x:c r="C65" s="313" t="str">
        <x:v>https://www.axios.com/</x:v>
      </x:c>
      <x:c r="D65" s="308" t="str">
        <x:v>Estados Unidos</x:v>
      </x:c>
      <x:c r="E65" s="308" t="str">
        <x:v>Occidente</x:v>
      </x:c>
      <x:c r="F65" s="308" t="str">
        <x:v>Inglés</x:v>
      </x:c>
      <x:c r="G65" s="308" t="str">
        <x:v>Medio generalista</x:v>
      </x:c>
      <x:c r="H65" s="404" t="str">
        <x:v>Noticias y explicación breve</x:v>
      </x:c>
      <x:c r="I65" s="308" t="str">
        <x:v>Privado comercial</x:v>
      </x:c>
      <x:c r="J65" s="308" t="str">
        <x:v>Privado</x:v>
      </x:c>
      <x:c r="K65" s="308" t="str">
        <x:v>Centro</x:v>
      </x:c>
      <x:c r="L65" s="308" t="str">
        <x:v>Estadounidense / política pública</x:v>
      </x:c>
      <x:c r="M65" s="309" t="n">
        <x:v>4</x:v>
      </x:c>
      <x:c r="N65" s="309" t="n">
        <x:v>4</x:v>
      </x:c>
      <x:c r="O65" s="309" t="n">
        <x:v>4</x:v>
      </x:c>
      <x:c r="P65" s="309" t="n">
        <x:v>4</x:v>
      </x:c>
      <x:c r="Q65" s="309" t="n">
        <x:v>4</x:v>
      </x:c>
      <x:c r="R65" s="309" t="n">
        <x:v>4</x:v>
      </x:c>
      <x:c r="S65" s="311" t="n">
        <x:v>4</x:v>
      </x:c>
      <x:c r="T65" s="309" t="str">
        <x:v>Media-alta</x:v>
      </x:c>
      <x:c r="U65" s="308" t="str">
        <x:v>Seguimiento rápido de política estadounidense</x:v>
      </x:c>
      <x:c r="V65" s="308" t="str">
        <x:v>Moderada</x:v>
      </x:c>
      <x:c r="W65" s="308" t="str">
        <x:v>Reuters, AP y documentos oficiales</x:v>
      </x:c>
      <x:c r="X65" s="308" t="str">
        <x:v>Activo</x:v>
      </x:c>
      <x:c r="Y65" s="308" t="str">
        <x:v>Útil para velocidad y síntesis; verificar primicias de alto impacto.</x:v>
      </x:c>
      <x:c r="Z65" s="308" t="str">
        <x:v>https://www.axios.com/</x:v>
      </x:c>
      <x:c r="AA65" s="310" t="n">
        <x:v>46219</x:v>
      </x:c>
    </x:row>
    <x:row r="66">
      <x:c r="A66" s="309" t="n">
        <x:v>44</x:v>
      </x:c>
      <x:c r="B66" s="312" t="str">
        <x:v>CGTN</x:v>
      </x:c>
      <x:c r="C66" s="313" t="str">
        <x:v>https://www.cgtn.com/</x:v>
      </x:c>
      <x:c r="D66" s="308" t="str">
        <x:v>China; alcance internacional</x:v>
      </x:c>
      <x:c r="E66" s="308" t="str">
        <x:v>Asia/Global</x:v>
      </x:c>
      <x:c r="F66" s="308" t="str">
        <x:v>Inglés y otros</x:v>
      </x:c>
      <x:c r="G66" s="308" t="str">
        <x:v>Medio estatal internacional</x:v>
      </x:c>
      <x:c r="H66" s="404" t="str">
        <x:v>Noticias y narrativa oficial</x:v>
      </x:c>
      <x:c r="I66" s="308" t="str">
        <x:v>Financiación estatal china</x:v>
      </x:c>
      <x:c r="J66" s="308" t="str">
        <x:v>Estatal</x:v>
      </x:c>
      <x:c r="K66" s="308" t="str">
        <x:v>Línea oficial</x:v>
      </x:c>
      <x:c r="L66" s="308" t="str">
        <x:v>China estatal</x:v>
      </x:c>
      <x:c r="M66" s="309" t="n">
        <x:v>3</x:v>
      </x:c>
      <x:c r="N66" s="309" t="n">
        <x:v>1</x:v>
      </x:c>
      <x:c r="O66" s="309" t="n">
        <x:v>4</x:v>
      </x:c>
      <x:c r="P66" s="309" t="n">
        <x:v>3</x:v>
      </x:c>
      <x:c r="Q66" s="309" t="n">
        <x:v>2</x:v>
      </x:c>
      <x:c r="R66" s="309" t="n">
        <x:v>2</x:v>
      </x:c>
      <x:c r="S66" s="311" t="n">
        <x:v>2.5</x:v>
      </x:c>
      <x:c r="T66" s="309" t="str">
        <x:v>Baja</x:v>
      </x:c>
      <x:c r="U66" s="308" t="str">
        <x:v>Conocer la posición y narrativa oficial china</x:v>
      </x:c>
      <x:c r="V66" s="308" t="str">
        <x:v>Obligatoria</x:v>
      </x:c>
      <x:c r="W66" s="308" t="str">
        <x:v>Reuters/AP, medios asiáticos independientes y documentos</x:v>
      </x:c>
      <x:c r="X66" s="308" t="str">
        <x:v>Uso condicionado</x:v>
      </x:c>
      <x:c r="Y66" s="308" t="str">
        <x:v>No clasificar simplemente como inútil: es fuente primaria de narrativa estatal.</x:v>
      </x:c>
      <x:c r="Z66" s="308" t="str">
        <x:v>https://www.cgtn.com/</x:v>
      </x:c>
      <x:c r="AA66" s="310" t="n">
        <x:v>46219</x:v>
      </x:c>
    </x:row>
    <x:row r="67">
      <x:c r="A67" s="309" t="n">
        <x:v>45</x:v>
      </x:c>
      <x:c r="B67" s="312" t="str">
        <x:v>TASS</x:v>
      </x:c>
      <x:c r="C67" s="313" t="str">
        <x:v>https://tass.com/</x:v>
      </x:c>
      <x:c r="D67" s="308" t="str">
        <x:v>Rusia; alcance internacional</x:v>
      </x:c>
      <x:c r="E67" s="308" t="str">
        <x:v>Rusia/Global</x:v>
      </x:c>
      <x:c r="F67" s="308" t="str">
        <x:v>Ruso/Inglés</x:v>
      </x:c>
      <x:c r="G67" s="308" t="str">
        <x:v>Agencia estatal</x:v>
      </x:c>
      <x:c r="H67" s="404" t="str">
        <x:v>Noticias y narrativa oficial</x:v>
      </x:c>
      <x:c r="I67" s="308" t="str">
        <x:v>Financiación estatal rusa</x:v>
      </x:c>
      <x:c r="J67" s="308" t="str">
        <x:v>Estatal</x:v>
      </x:c>
      <x:c r="K67" s="308" t="str">
        <x:v>Línea oficial</x:v>
      </x:c>
      <x:c r="L67" s="308" t="str">
        <x:v>Rusia estatal</x:v>
      </x:c>
      <x:c r="M67" s="309" t="n">
        <x:v>2</x:v>
      </x:c>
      <x:c r="N67" s="309" t="n">
        <x:v>1</x:v>
      </x:c>
      <x:c r="O67" s="309" t="n">
        <x:v>4</x:v>
      </x:c>
      <x:c r="P67" s="309" t="n">
        <x:v>2</x:v>
      </x:c>
      <x:c r="Q67" s="309" t="n">
        <x:v>1</x:v>
      </x:c>
      <x:c r="R67" s="309" t="n">
        <x:v>2</x:v>
      </x:c>
      <x:c r="S67" s="311" t="n">
        <x:v>2</x:v>
      </x:c>
      <x:c r="T67" s="309" t="str">
        <x:v>Baja</x:v>
      </x:c>
      <x:c r="U67" s="308" t="str">
        <x:v>Conocer declaraciones y narrativa oficial rusa</x:v>
      </x:c>
      <x:c r="V67" s="308" t="str">
        <x:v>Obligatoria</x:v>
      </x:c>
      <x:c r="W67" s="308" t="str">
        <x:v>Reuters/AP, medios rusos independientes y evidencia primaria</x:v>
      </x:c>
      <x:c r="X67" s="308" t="str">
        <x:v>Uso condicionado</x:v>
      </x:c>
      <x:c r="Y67" s="308"/>
      <x:c r="Z67" s="308" t="str">
        <x:v>https://tass.com/</x:v>
      </x:c>
      <x:c r="AA67" s="310" t="n">
        <x:v>46219</x:v>
      </x:c>
    </x:row>
    <x:row r="68">
      <x:c r="A68" s="309" t="n">
        <x:v>55</x:v>
      </x:c>
      <x:c r="B68" s="312" t="str">
        <x:v>Dawn</x:v>
      </x:c>
      <x:c r="C68" s="313" t="str">
        <x:v>https://www.dawn.com/</x:v>
      </x:c>
      <x:c r="D68" s="308" t="str">
        <x:v>Pakistán</x:v>
      </x:c>
      <x:c r="E68" s="308" t="str">
        <x:v>Asia</x:v>
      </x:c>
      <x:c r="F68" s="308" t="str">
        <x:v>Inglés</x:v>
      </x:c>
      <x:c r="G68" s="308" t="str">
        <x:v>Medio generalista</x:v>
      </x:c>
      <x:c r="H68" s="404" t="str">
        <x:v>Noticias y opinión</x:v>
      </x:c>
      <x:c r="I68" s="308" t="str">
        <x:v>Privado comercial</x:v>
      </x:c>
      <x:c r="J68" s="308" t="str">
        <x:v>Privado</x:v>
      </x:c>
      <x:c r="K68" s="308" t="str">
        <x:v>Centro liberal</x:v>
      </x:c>
      <x:c r="L68" s="308" t="str">
        <x:v>Pakistán / Asia del Sur</x:v>
      </x:c>
      <x:c r="M68" s="309" t="n">
        <x:v>4</x:v>
      </x:c>
      <x:c r="N68" s="309" t="n">
        <x:v>4</x:v>
      </x:c>
      <x:c r="O68" s="309" t="n">
        <x:v>4</x:v>
      </x:c>
      <x:c r="P68" s="309" t="n">
        <x:v>4</x:v>
      </x:c>
      <x:c r="Q68" s="309" t="n">
        <x:v>4</x:v>
      </x:c>
      <x:c r="R68" s="309" t="n">
        <x:v>4</x:v>
      </x:c>
      <x:c r="S68" s="311" t="n">
        <x:v>4</x:v>
      </x:c>
      <x:c r="T68" s="309" t="str">
        <x:v>Media-alta</x:v>
      </x:c>
      <x:c r="U68" s="308" t="str">
        <x:v>Pakistán, Afganistán y Asia del Sur</x:v>
      </x:c>
      <x:c r="V68" s="308" t="str">
        <x:v>Moderada</x:v>
      </x:c>
      <x:c r="W68" s="308" t="str">
        <x:v>Reuters, medios locales y fuentes oficiales</x:v>
      </x:c>
      <x:c r="X68" s="308" t="str">
        <x:v>Nuevo recomendado</x:v>
      </x:c>
      <x:c r="Y68" s="308"/>
      <x:c r="Z68" s="308" t="str">
        <x:v>https://www.dawn.com/</x:v>
      </x:c>
      <x:c r="AA68" s="310" t="n">
        <x:v>46219</x:v>
      </x:c>
    </x:row>
    <x:row r="69">
      <x:c r="A69" s="309" t="n">
        <x:v>26</x:v>
      </x:c>
      <x:c r="B69" s="312" t="str">
        <x:v>Maariv</x:v>
      </x:c>
      <x:c r="C69" s="313" t="str">
        <x:v>https://www.maariv.co.il/</x:v>
      </x:c>
      <x:c r="D69" s="308" t="str">
        <x:v>Israel</x:v>
      </x:c>
      <x:c r="E69" s="308" t="str">
        <x:v>Medio Oriente</x:v>
      </x:c>
      <x:c r="F69" s="308" t="str">
        <x:v>Hebreo</x:v>
      </x:c>
      <x:c r="G69" s="308" t="str">
        <x:v>Medio generalista</x:v>
      </x:c>
      <x:c r="H69" s="404" t="str">
        <x:v>Noticias y opinión</x:v>
      </x:c>
      <x:c r="I69" s="308" t="str">
        <x:v>Privado comercial</x:v>
      </x:c>
      <x:c r="J69" s="308" t="str">
        <x:v>Privado</x:v>
      </x:c>
      <x:c r="K69" s="308" t="str">
        <x:v>Centro-derecha</x:v>
      </x:c>
      <x:c r="L69" s="308" t="str">
        <x:v>Israelí</x:v>
      </x:c>
      <x:c r="M69" s="309" t="n">
        <x:v>4</x:v>
      </x:c>
      <x:c r="N69" s="309" t="n">
        <x:v>3</x:v>
      </x:c>
      <x:c r="O69" s="309" t="n">
        <x:v>3</x:v>
      </x:c>
      <x:c r="P69" s="309" t="n">
        <x:v>3</x:v>
      </x:c>
      <x:c r="Q69" s="309" t="n">
        <x:v>3</x:v>
      </x:c>
      <x:c r="R69" s="309" t="n">
        <x:v>3</x:v>
      </x:c>
      <x:c r="S69" s="311" t="n">
        <x:v>3.2</x:v>
      </x:c>
      <x:c r="T69" s="309" t="str">
        <x:v>Media</x:v>
      </x:c>
      <x:c r="U69" s="308" t="str">
        <x:v>Política y sociedad israelí</x:v>
      </x:c>
      <x:c r="V69" s="308" t="str">
        <x:v>Moderada</x:v>
      </x:c>
      <x:c r="W69" s="308" t="str">
        <x:v>Kan, Haaretz, Ynet y fuentes oficiales</x:v>
      </x:c>
      <x:c r="X69" s="308" t="str">
        <x:v>Activo</x:v>
      </x:c>
      <x:c r="Y69" s="308"/>
      <x:c r="Z69" s="308" t="str">
        <x:v>https://www.maariv.co.il/</x:v>
      </x:c>
      <x:c r="AA69" s="310" t="n">
        <x:v>46219</x:v>
      </x:c>
    </x:row>
    <x:row r="70">
      <x:c r="A70" s="309" t="n">
        <x:v>4</x:v>
      </x:c>
      <x:c r="B70" s="312" t="str">
        <x:v>La Nación (Argentina)</x:v>
      </x:c>
      <x:c r="C70" s="313" t="str">
        <x:v>https://www.lanacion.com.ar/</x:v>
      </x:c>
      <x:c r="D70" s="308" t="str">
        <x:v>Argentina</x:v>
      </x:c>
      <x:c r="E70" s="308" t="str">
        <x:v>América Latina</x:v>
      </x:c>
      <x:c r="F70" s="308" t="str">
        <x:v>Español</x:v>
      </x:c>
      <x:c r="G70" s="308" t="str">
        <x:v>Medio generalista</x:v>
      </x:c>
      <x:c r="H70" s="404" t="str">
        <x:v>Noticias, análisis y opinión</x:v>
      </x:c>
      <x:c r="I70" s="308" t="str">
        <x:v>Privado comercial</x:v>
      </x:c>
      <x:c r="J70" s="308" t="str">
        <x:v>Privado</x:v>
      </x:c>
      <x:c r="K70" s="308" t="str">
        <x:v>Centro-derecha</x:v>
      </x:c>
      <x:c r="L70" s="308" t="str">
        <x:v>Argentina / liberal-conservadora</x:v>
      </x:c>
      <x:c r="M70" s="309" t="n">
        <x:v>4</x:v>
      </x:c>
      <x:c r="N70" s="309" t="n">
        <x:v>4</x:v>
      </x:c>
      <x:c r="O70" s="309" t="n">
        <x:v>4</x:v>
      </x:c>
      <x:c r="P70" s="309" t="n">
        <x:v>4</x:v>
      </x:c>
      <x:c r="Q70" s="309" t="n">
        <x:v>4</x:v>
      </x:c>
      <x:c r="R70" s="309" t="n">
        <x:v>4</x:v>
      </x:c>
      <x:c r="S70" s="311" t="n">
        <x:v>4</x:v>
      </x:c>
      <x:c r="T70" s="309" t="str">
        <x:v>Media-alta</x:v>
      </x:c>
      <x:c r="U70" s="308" t="str">
        <x:v>Argentina y Cono Sur</x:v>
      </x:c>
      <x:c r="V70" s="308" t="str">
        <x:v>Moderada</x:v>
      </x:c>
      <x:c r="W70" s="308" t="str">
        <x:v>Reuters, AP y medios regionales</x:v>
      </x:c>
      <x:c r="X70" s="308" t="str">
        <x:v>Activo</x:v>
      </x:c>
      <x:c r="Y70" s="308"/>
      <x:c r="Z70" s="308" t="str">
        <x:v>https://www.lanacion.com.ar/</x:v>
      </x:c>
      <x:c r="AA70" s="310" t="n">
        <x:v>46219</x:v>
      </x:c>
    </x:row>
    <x:row r="71">
      <x:c r="A71" s="309" t="n">
        <x:v>3</x:v>
      </x:c>
      <x:c r="B71" s="312" t="str">
        <x:v>El País</x:v>
      </x:c>
      <x:c r="C71" s="313" t="str">
        <x:v>https://elpais.com/</x:v>
      </x:c>
      <x:c r="D71" s="308" t="str">
        <x:v>España</x:v>
      </x:c>
      <x:c r="E71" s="308" t="str">
        <x:v>Occidente/América Latina</x:v>
      </x:c>
      <x:c r="F71" s="308" t="str">
        <x:v>Español</x:v>
      </x:c>
      <x:c r="G71" s="308" t="str">
        <x:v>Medio generalista</x:v>
      </x:c>
      <x:c r="H71" s="404" t="str">
        <x:v>Noticias, análisis y opinión</x:v>
      </x:c>
      <x:c r="I71" s="308" t="str">
        <x:v>Privado comercial</x:v>
      </x:c>
      <x:c r="J71" s="308" t="str">
        <x:v>Privado</x:v>
      </x:c>
      <x:c r="K71" s="308" t="str">
        <x:v>Centro-izquierda liberal</x:v>
      </x:c>
      <x:c r="L71" s="308" t="str">
        <x:v>Europeísta / iberoamericana</x:v>
      </x:c>
      <x:c r="M71" s="309" t="n">
        <x:v>4</x:v>
      </x:c>
      <x:c r="N71" s="309" t="n">
        <x:v>4</x:v>
      </x:c>
      <x:c r="O71" s="309" t="n">
        <x:v>4</x:v>
      </x:c>
      <x:c r="P71" s="309" t="n">
        <x:v>4</x:v>
      </x:c>
      <x:c r="Q71" s="309" t="n">
        <x:v>4</x:v>
      </x:c>
      <x:c r="R71" s="309" t="n">
        <x:v>4</x:v>
      </x:c>
      <x:c r="S71" s="311" t="n">
        <x:v>4</x:v>
      </x:c>
      <x:c r="T71" s="309" t="str">
        <x:v>Media-alta</x:v>
      </x:c>
      <x:c r="U71" s="308" t="str">
        <x:v>Cobertura europea y latinoamericana</x:v>
      </x:c>
      <x:c r="V71" s="308" t="str">
        <x:v>Moderada</x:v>
      </x:c>
      <x:c r="W71" s="308" t="str">
        <x:v>Agencias y medios locales</x:v>
      </x:c>
      <x:c r="X71" s="308" t="str">
        <x:v>Activo</x:v>
      </x:c>
      <x:c r="Y71" s="308"/>
      <x:c r="Z71" s="308" t="str">
        <x:v>https://elpais.com/</x:v>
      </x:c>
      <x:c r="AA71" s="310" t="n">
        <x:v>46219</x:v>
      </x:c>
    </x:row>
    <x:row r="72">
      <x:c r="A72" s="309" t="n">
        <x:v>19</x:v>
      </x:c>
      <x:c r="B72" s="312" t="str">
        <x:v>Al Jazeera Arabic</x:v>
      </x:c>
      <x:c r="C72" s="313" t="str">
        <x:v>https://www.aljazeera.net/</x:v>
      </x:c>
      <x:c r="D72" s="308" t="str">
        <x:v>Qatar; alcance regional</x:v>
      </x:c>
      <x:c r="E72" s="308" t="str">
        <x:v>Medio Oriente</x:v>
      </x:c>
      <x:c r="F72" s="308" t="str">
        <x:v>Árabe</x:v>
      </x:c>
      <x:c r="G72" s="308" t="str">
        <x:v>Red regional</x:v>
      </x:c>
      <x:c r="H72" s="404" t="str">
        <x:v>Noticias, debates y análisis</x:v>
      </x:c>
      <x:c r="I72" s="308" t="str">
        <x:v>Financiación pública catarí</x:v>
      </x:c>
      <x:c r="J72" s="308" t="str">
        <x:v>Estatal/afiliado al Estado</x:v>
      </x:c>
      <x:c r="K72" s="308" t="str">
        <x:v>Variable por programa</x:v>
      </x:c>
      <x:c r="L72" s="308" t="str">
        <x:v>Catarí / panárabe</x:v>
      </x:c>
      <x:c r="M72" s="309" t="n">
        <x:v>3</x:v>
      </x:c>
      <x:c r="N72" s="309" t="n">
        <x:v>2</x:v>
      </x:c>
      <x:c r="O72" s="309" t="n">
        <x:v>4</x:v>
      </x:c>
      <x:c r="P72" s="309" t="n">
        <x:v>3</x:v>
      </x:c>
      <x:c r="Q72" s="309" t="n">
        <x:v>3</x:v>
      </x:c>
      <x:c r="R72" s="309" t="n">
        <x:v>3</x:v>
      </x:c>
      <x:c r="S72" s="311" t="n">
        <x:v>3</x:v>
      </x:c>
      <x:c r="T72" s="309" t="str">
        <x:v>Media</x:v>
      </x:c>
      <x:c r="U72" s="308" t="str">
        <x:v>Seguimiento de narrativas árabes y agenda regional</x:v>
      </x:c>
      <x:c r="V72" s="308" t="str">
        <x:v>Alta</x:v>
      </x:c>
      <x:c r="W72" s="308" t="str">
        <x:v>Reuters/AP, medios locales y documentación primaria</x:v>
      </x:c>
      <x:c r="X72" s="308" t="str">
        <x:v>Nuevo recomendado</x:v>
      </x:c>
      <x:c r="Y72" s="308" t="str">
        <x:v>Evaluar por programa; mayor carga política que la edición inglesa.</x:v>
      </x:c>
      <x:c r="Z72" s="308" t="str">
        <x:v>https://www.aljazeera.com/about-us</x:v>
      </x:c>
      <x:c r="AA72" s="310" t="n">
        <x:v>46219</x:v>
      </x:c>
    </x:row>
    <x:row r="73">
      <x:c r="A73" s="309" t="n">
        <x:v>18</x:v>
      </x:c>
      <x:c r="B73" s="312" t="str">
        <x:v>Al Jazeera English</x:v>
      </x:c>
      <x:c r="C73" s="313" t="str">
        <x:v>https://www.aljazeera.com/</x:v>
      </x:c>
      <x:c r="D73" s="308" t="str">
        <x:v>Qatar; alcance global</x:v>
      </x:c>
      <x:c r="E73" s="308" t="str">
        <x:v>Medio Oriente/Global</x:v>
      </x:c>
      <x:c r="F73" s="308" t="str">
        <x:v>Inglés</x:v>
      </x:c>
      <x:c r="G73" s="308" t="str">
        <x:v>Red internacional</x:v>
      </x:c>
      <x:c r="H73" s="404" t="str">
        <x:v>Noticias, documentales y análisis</x:v>
      </x:c>
      <x:c r="I73" s="308" t="str">
        <x:v>Financiación pública catarí</x:v>
      </x:c>
      <x:c r="J73" s="308" t="str">
        <x:v>Estatal/afiliado al Estado</x:v>
      </x:c>
      <x:c r="K73" s="308" t="str">
        <x:v>Progresista en temas globales</x:v>
      </x:c>
      <x:c r="L73" s="308" t="str">
        <x:v>Catarí / Global South</x:v>
      </x:c>
      <x:c r="M73" s="309" t="n">
        <x:v>4</x:v>
      </x:c>
      <x:c r="N73" s="309" t="n">
        <x:v>2</x:v>
      </x:c>
      <x:c r="O73" s="309" t="n">
        <x:v>4</x:v>
      </x:c>
      <x:c r="P73" s="309" t="n">
        <x:v>4</x:v>
      </x:c>
      <x:c r="Q73" s="309" t="n">
        <x:v>4</x:v>
      </x:c>
      <x:c r="R73" s="309" t="n">
        <x:v>4</x:v>
      </x:c>
      <x:c r="S73" s="311" t="n">
        <x:v>3.7</x:v>
      </x:c>
      <x:c r="T73" s="309" t="str">
        <x:v>Media-alta</x:v>
      </x:c>
      <x:c r="U73" s="308" t="str">
        <x:v>Perspectiva regional y Global South</x:v>
      </x:c>
      <x:c r="V73" s="308" t="str">
        <x:v>Alta en asuntos sensibles para Qatar</x:v>
      </x:c>
      <x:c r="W73" s="308" t="str">
        <x:v>Reuters/AP y medios regionales con líneas distintas</x:v>
      </x:c>
      <x:c r="X73" s="308" t="str">
        <x:v>Uso condicionado</x:v>
      </x:c>
      <x:c r="Y73" s="308" t="str">
        <x:v>No equiparar automáticamente la edición inglesa con la árabe.</x:v>
      </x:c>
      <x:c r="Z73" s="308" t="str">
        <x:v>https://www.aljazeera.com/about-us</x:v>
      </x:c>
      <x:c r="AA73" s="310" t="n">
        <x:v>46219</x:v>
      </x:c>
    </x:row>
    <x:row r="74">
      <x:c r="A74" s="309" t="n">
        <x:v>10</x:v>
      </x:c>
      <x:c r="B74" s="312" t="str">
        <x:v>The New York Times</x:v>
      </x:c>
      <x:c r="C74" s="313" t="str">
        <x:v>https://www.nytimes.com/</x:v>
      </x:c>
      <x:c r="D74" s="308" t="str">
        <x:v>Estados Unidos; alcance global</x:v>
      </x:c>
      <x:c r="E74" s="308" t="str">
        <x:v>Global/Occidente</x:v>
      </x:c>
      <x:c r="F74" s="308" t="str">
        <x:v>Inglés</x:v>
      </x:c>
      <x:c r="G74" s="308" t="str">
        <x:v>Medio generalista</x:v>
      </x:c>
      <x:c r="H74" s="404" t="str">
        <x:v>Noticias, investigación y análisis</x:v>
      </x:c>
      <x:c r="I74" s="308" t="str">
        <x:v>Privado comercial</x:v>
      </x:c>
      <x:c r="J74" s="308" t="str">
        <x:v>Privado</x:v>
      </x:c>
      <x:c r="K74" s="308" t="str">
        <x:v>Centro-izquierda liberal</x:v>
      </x:c>
      <x:c r="L74" s="308" t="str">
        <x:v>Estadounidense / liberal internacionalista</x:v>
      </x:c>
      <x:c r="M74" s="309" t="n">
        <x:v>5</x:v>
      </x:c>
      <x:c r="N74" s="309" t="n">
        <x:v>4</x:v>
      </x:c>
      <x:c r="O74" s="309" t="n">
        <x:v>4</x:v>
      </x:c>
      <x:c r="P74" s="309" t="n">
        <x:v>5</x:v>
      </x:c>
      <x:c r="Q74" s="309" t="n">
        <x:v>5</x:v>
      </x:c>
      <x:c r="R74" s="309" t="n">
        <x:v>4</x:v>
      </x:c>
      <x:c r="S74" s="311" t="n">
        <x:v>4.5</x:v>
      </x:c>
      <x:c r="T74" s="309" t="str">
        <x:v>Alta</x:v>
      </x:c>
      <x:c r="U74" s="308" t="str">
        <x:v>Investigación y contexto profundo</x:v>
      </x:c>
      <x:c r="V74" s="308" t="str">
        <x:v>Moderada</x:v>
      </x:c>
      <x:c r="W74" s="308" t="str">
        <x:v>Agencias, documentos y prensa local</x:v>
      </x:c>
      <x:c r="X74" s="308" t="str">
        <x:v>Activo</x:v>
      </x:c>
      <x:c r="Y74" s="308" t="str">
        <x:v>Distinguir con claridad noticias, análisis y columnas.</x:v>
      </x:c>
      <x:c r="Z74" s="308" t="str">
        <x:v>https://www.nytimes.com/</x:v>
      </x:c>
      <x:c r="AA74" s="310" t="n">
        <x:v>46219</x:v>
      </x:c>
    </x:row>
    <x:row r="75">
      <x:c r="A75" s="309" t="n">
        <x:v>81</x:v>
      </x:c>
      <x:c r="B75" s="312" t="str">
        <x:v>Le Desk</x:v>
      </x:c>
      <x:c r="C75" s="313" t="str">
        <x:v>https://ledesk.ma/</x:v>
      </x:c>
      <x:c r="D75" s="308" t="str">
        <x:v>Marruecos</x:v>
      </x:c>
      <x:c r="E75" s="308" t="str">
        <x:v>África del Norte</x:v>
      </x:c>
      <x:c r="F75" s="308" t="str">
        <x:v>Francés</x:v>
      </x:c>
      <x:c r="G75" s="308" t="str">
        <x:v>Medio digital de investigación</x:v>
      </x:c>
      <x:c r="H75" s="404" t="str">
        <x:v>Noticias, investigación y análisis</x:v>
      </x:c>
      <x:c r="I75" s="308" t="str">
        <x:v>Suscripción comercial; Pulse Media</x:v>
      </x:c>
      <x:c r="J75" s="308" t="str">
        <x:v>Privado</x:v>
      </x:c>
      <x:c r="K75" s="308" t="str">
        <x:v>Liberal / crítico</x:v>
      </x:c>
      <x:c r="L75" s="308" t="str">
        <x:v>Marroquí / magrebí</x:v>
      </x:c>
      <x:c r="M75" s="309" t="n">
        <x:v>4</x:v>
      </x:c>
      <x:c r="N75" s="309" t="n">
        <x:v>4</x:v>
      </x:c>
      <x:c r="O75" s="309" t="n">
        <x:v>4</x:v>
      </x:c>
      <x:c r="P75" s="309" t="n">
        <x:v>4</x:v>
      </x:c>
      <x:c r="Q75" s="309" t="n">
        <x:v>4</x:v>
      </x:c>
      <x:c r="R75" s="309" t="n">
        <x:v>4</x:v>
      </x:c>
      <x:c r="S75" s="311" t="n">
        <x:v>4</x:v>
      </x:c>
      <x:c r="T75" s="309" t="str">
        <x:v>Media-alta</x:v>
      </x:c>
      <x:c r="U75" s="308" t="str">
        <x:v>Marruecos, Magreb, diplomacia y redes económicas</x:v>
      </x:c>
      <x:c r="V75" s="308" t="str">
        <x:v>Moderada-alta</x:v>
      </x:c>
      <x:c r="W75" s="308" t="str">
        <x:v>Documentos, agencias, prensa marroquí y medios magrebíes</x:v>
      </x:c>
      <x:c r="X75" s="308" t="str">
        <x:v>Nuevo recomendado</x:v>
      </x:c>
      <x:c r="Y75" s="308" t="str">
        <x:v>Medio de pago con orientación investigativa; corroborar asuntos relacionados con la monarquía, seguridad o fuentes reservadas.</x:v>
      </x:c>
      <x:c r="Z75" s="308" t="str">
        <x:v>https://ledesk.ma/charte-editoriale/</x:v>
      </x:c>
      <x:c r="AA75" s="310" t="n">
        <x:v>46219</x:v>
      </x:c>
    </x:row>
    <x:row r="76">
      <x:c r="A76" s="309" t="n">
        <x:v>9</x:v>
      </x:c>
      <x:c r="B76" s="312" t="str">
        <x:v>The Guardian</x:v>
      </x:c>
      <x:c r="C76" s="313" t="str">
        <x:v>https://www.theguardian.com/international</x:v>
      </x:c>
      <x:c r="D76" s="308" t="str">
        <x:v>Reino Unido; alcance global</x:v>
      </x:c>
      <x:c r="E76" s="308" t="str">
        <x:v>Global/Occidente</x:v>
      </x:c>
      <x:c r="F76" s="308" t="str">
        <x:v>Inglés</x:v>
      </x:c>
      <x:c r="G76" s="308" t="str">
        <x:v>Medio generalista</x:v>
      </x:c>
      <x:c r="H76" s="404" t="str">
        <x:v>Noticias, investigación y opinión</x:v>
      </x:c>
      <x:c r="I76" s="308" t="str">
        <x:v>Propiedad fiduciaria</x:v>
      </x:c>
      <x:c r="J76" s="308" t="str">
        <x:v>Privado/fiduciario</x:v>
      </x:c>
      <x:c r="K76" s="308" t="str">
        <x:v>Centro-izquierda</x:v>
      </x:c>
      <x:c r="L76" s="308" t="str">
        <x:v>Liberal / derechos humanos</x:v>
      </x:c>
      <x:c r="M76" s="309" t="n">
        <x:v>4</x:v>
      </x:c>
      <x:c r="N76" s="309" t="n">
        <x:v>4</x:v>
      </x:c>
      <x:c r="O76" s="309" t="n">
        <x:v>5</x:v>
      </x:c>
      <x:c r="P76" s="309" t="n">
        <x:v>4</x:v>
      </x:c>
      <x:c r="Q76" s="309" t="n">
        <x:v>5</x:v>
      </x:c>
      <x:c r="R76" s="309" t="n">
        <x:v>4</x:v>
      </x:c>
      <x:c r="S76" s="311" t="n">
        <x:v>4.3</x:v>
      </x:c>
      <x:c r="T76" s="309" t="str">
        <x:v>Alta</x:v>
      </x:c>
      <x:c r="U76" s="308" t="str">
        <x:v>Investigación, sociedad y clima</x:v>
      </x:c>
      <x:c r="V76" s="308" t="str">
        <x:v>Moderada</x:v>
      </x:c>
      <x:c r="W76" s="308" t="str">
        <x:v>Agencias y fuentes con distinta perspectiva</x:v>
      </x:c>
      <x:c r="X76" s="308" t="str">
        <x:v>Activo</x:v>
      </x:c>
      <x:c r="Y76" s="308"/>
      <x:c r="Z76" s="308" t="str">
        <x:v>https://www.theguardian.com/international</x:v>
      </x:c>
      <x:c r="AA76" s="310" t="n">
        <x:v>46219</x:v>
      </x:c>
    </x:row>
    <x:row r="77">
      <x:c r="A77" s="309" t="n">
        <x:v>30</x:v>
      </x:c>
      <x:c r="B77" s="312" t="str">
        <x:v>Middle East Eye</x:v>
      </x:c>
      <x:c r="C77" s="313" t="str">
        <x:v>https://www.middleeasteye.net/</x:v>
      </x:c>
      <x:c r="D77" s="308" t="str">
        <x:v>Reino Unido; foco regional</x:v>
      </x:c>
      <x:c r="E77" s="308" t="str">
        <x:v>Medio Oriente</x:v>
      </x:c>
      <x:c r="F77" s="308" t="str">
        <x:v>Inglés</x:v>
      </x:c>
      <x:c r="G77" s="308" t="str">
        <x:v>Medio regional independiente</x:v>
      </x:c>
      <x:c r="H77" s="404" t="str">
        <x:v>Noticias, investigación y opinión</x:v>
      </x:c>
      <x:c r="I77" s="308" t="str">
        <x:v>Privado; transparencia discutida</x:v>
      </x:c>
      <x:c r="J77" s="308" t="str">
        <x:v>Privado</x:v>
      </x:c>
      <x:c r="K77" s="308" t="str">
        <x:v>Centro-izquierda</x:v>
      </x:c>
      <x:c r="L77" s="308" t="str">
        <x:v>Regional / crítica de gobiernos occidentales e Israel</x:v>
      </x:c>
      <x:c r="M77" s="309" t="n">
        <x:v>3</x:v>
      </x:c>
      <x:c r="N77" s="309" t="n">
        <x:v>3</x:v>
      </x:c>
      <x:c r="O77" s="309" t="n">
        <x:v>2</x:v>
      </x:c>
      <x:c r="P77" s="309" t="n">
        <x:v>3</x:v>
      </x:c>
      <x:c r="Q77" s="309" t="n">
        <x:v>3</x:v>
      </x:c>
      <x:c r="R77" s="309" t="n">
        <x:v>3</x:v>
      </x:c>
      <x:c r="S77" s="311" t="n">
        <x:v>2.8</x:v>
      </x:c>
      <x:c r="T77" s="309" t="str">
        <x:v>Media</x:v>
      </x:c>
      <x:c r="U77" s="308" t="str">
        <x:v>Perspectivas regionales y temas subcubiertos</x:v>
      </x:c>
      <x:c r="V77" s="308" t="str">
        <x:v>Alta</x:v>
      </x:c>
      <x:c r="W77" s="308" t="str">
        <x:v>Reuters/AP, medios locales y documentos primarios</x:v>
      </x:c>
      <x:c r="X77" s="308" t="str">
        <x:v>Uso condicionado</x:v>
      </x:c>
      <x:c r="Y77" s="308" t="str">
        <x:v>Útil para diversidad de perspectiva; no usar en solitario.</x:v>
      </x:c>
      <x:c r="Z77" s="308" t="str">
        <x:v>https://www.middleeasteye.net/</x:v>
      </x:c>
      <x:c r="AA77" s="310" t="n">
        <x:v>46219</x:v>
      </x:c>
    </x:row>
    <x:row r="78">
      <x:c r="A78" s="309" t="n">
        <x:v>69</x:v>
      </x:c>
      <x:c r="B78" s="312" t="str">
        <x:v>Daily Maverick</x:v>
      </x:c>
      <x:c r="C78" s="313" t="str">
        <x:v>https://www.dailymaverick.co.za/</x:v>
      </x:c>
      <x:c r="D78" s="308" t="str">
        <x:v>Sudáfrica</x:v>
      </x:c>
      <x:c r="E78" s="308" t="str">
        <x:v>África Austral</x:v>
      </x:c>
      <x:c r="F78" s="308" t="str">
        <x:v>Inglés</x:v>
      </x:c>
      <x:c r="G78" s="308" t="str">
        <x:v>Medio independiente</x:v>
      </x:c>
      <x:c r="H78" s="404" t="str">
        <x:v>Noticias, investigación y opinión</x:v>
      </x:c>
      <x:c r="I78" s="308" t="str">
        <x:v>Privado/independiente</x:v>
      </x:c>
      <x:c r="J78" s="308" t="str">
        <x:v>Independiente</x:v>
      </x:c>
      <x:c r="K78" s="308" t="str">
        <x:v>Liberal / reformista</x:v>
      </x:c>
      <x:c r="L78" s="308" t="str">
        <x:v>Sudafricana / africana</x:v>
      </x:c>
      <x:c r="M78" s="309" t="n">
        <x:v>4</x:v>
      </x:c>
      <x:c r="N78" s="309" t="n">
        <x:v>4</x:v>
      </x:c>
      <x:c r="O78" s="309" t="n">
        <x:v>4</x:v>
      </x:c>
      <x:c r="P78" s="309" t="n">
        <x:v>4</x:v>
      </x:c>
      <x:c r="Q78" s="309" t="n">
        <x:v>4</x:v>
      </x:c>
      <x:c r="R78" s="309" t="n">
        <x:v>4</x:v>
      </x:c>
      <x:c r="S78" s="311" t="n">
        <x:v>4</x:v>
      </x:c>
      <x:c r="T78" s="309" t="str">
        <x:v>Media-alta</x:v>
      </x:c>
      <x:c r="U78" s="308" t="str">
        <x:v>Sudáfrica y África subsahariana</x:v>
      </x:c>
      <x:c r="V78" s="308" t="str">
        <x:v>Moderada</x:v>
      </x:c>
      <x:c r="W78" s="308" t="str">
        <x:v>Reuters, AFP y prensa regional</x:v>
      </x:c>
      <x:c r="X78" s="308" t="str">
        <x:v>Nuevo recomendado</x:v>
      </x:c>
      <x:c r="Y78" s="308"/>
      <x:c r="Z78" s="308" t="str">
        <x:v>https://www.dailymaverick.co.za/</x:v>
      </x:c>
      <x:c r="AA78" s="310" t="n">
        <x:v>46219</x:v>
      </x:c>
    </x:row>
    <x:row r="79">
      <x:c r="A79" s="309" t="n">
        <x:v>23</x:v>
      </x:c>
      <x:c r="B79" s="312" t="str">
        <x:v>Haaretz</x:v>
      </x:c>
      <x:c r="C79" s="313" t="str">
        <x:v>https://www.haaretz.com/</x:v>
      </x:c>
      <x:c r="D79" s="308" t="str">
        <x:v>Israel; edición hebrea e inglesa</x:v>
      </x:c>
      <x:c r="E79" s="308" t="str">
        <x:v>Medio Oriente</x:v>
      </x:c>
      <x:c r="F79" s="308" t="str">
        <x:v>Hebreo/Inglés</x:v>
      </x:c>
      <x:c r="G79" s="308" t="str">
        <x:v>Medio generalista</x:v>
      </x:c>
      <x:c r="H79" s="404" t="str">
        <x:v>Noticias, investigación, análisis y opinión</x:v>
      </x:c>
      <x:c r="I79" s="308" t="str">
        <x:v>Privado comercial</x:v>
      </x:c>
      <x:c r="J79" s="308" t="str">
        <x:v>Privado</x:v>
      </x:c>
      <x:c r="K79" s="308" t="str">
        <x:v>Liberal / centro-izquierda</x:v>
      </x:c>
      <x:c r="L79" s="308" t="str">
        <x:v>Israelí liberal; crítico de la ocupación</x:v>
      </x:c>
      <x:c r="M79" s="309" t="n">
        <x:v>4</x:v>
      </x:c>
      <x:c r="N79" s="309" t="n">
        <x:v>4</x:v>
      </x:c>
      <x:c r="O79" s="309" t="n">
        <x:v>4</x:v>
      </x:c>
      <x:c r="P79" s="309" t="n">
        <x:v>4</x:v>
      </x:c>
      <x:c r="Q79" s="309" t="n">
        <x:v>4</x:v>
      </x:c>
      <x:c r="R79" s="309" t="n">
        <x:v>3</x:v>
      </x:c>
      <x:c r="S79" s="311" t="n">
        <x:v>3.8</x:v>
      </x:c>
      <x:c r="T79" s="309" t="str">
        <x:v>Media-alta</x:v>
      </x:c>
      <x:c r="U79" s="308" t="str">
        <x:v>Investigación y perspectiva liberal israelí</x:v>
      </x:c>
      <x:c r="V79" s="308" t="str">
        <x:v>Moderada</x:v>
      </x:c>
      <x:c r="W79" s="308" t="str">
        <x:v>Kan, TOI, Ynet, medios árabes y fuentes oficiales</x:v>
      </x:c>
      <x:c r="X79" s="308" t="str">
        <x:v>Activo</x:v>
      </x:c>
      <x:c r="Y79" s="308" t="str">
        <x:v>Separar noticias, análisis y columnas editoriales.</x:v>
      </x:c>
      <x:c r="Z79" s="308" t="str">
        <x:v>https://www.haaretz.com/</x:v>
      </x:c>
      <x:c r="AA79" s="310" t="n">
        <x:v>46219</x:v>
      </x:c>
    </x:row>
    <x:row r="80">
      <x:c r="A80" s="309" t="n">
        <x:v>91</x:v>
      </x:c>
      <x:c r="B80" s="312" t="str">
        <x:v>Mail &amp; Guardian</x:v>
      </x:c>
      <x:c r="C80" s="313" t="str">
        <x:v>https://mg.co.za/</x:v>
      </x:c>
      <x:c r="D80" s="308" t="str">
        <x:v>Sudáfrica; cobertura de África Austral</x:v>
      </x:c>
      <x:c r="E80" s="308" t="str">
        <x:v>África Austral</x:v>
      </x:c>
      <x:c r="F80" s="308" t="str">
        <x:v>Inglés</x:v>
      </x:c>
      <x:c r="G80" s="308" t="str">
        <x:v>Medio generalista / semanal</x:v>
      </x:c>
      <x:c r="H80" s="404" t="str">
        <x:v>Noticias, investigación, análisis y opinión</x:v>
      </x:c>
      <x:c r="I80" s="308" t="str">
        <x:v>Privado comercial</x:v>
      </x:c>
      <x:c r="J80" s="308" t="str">
        <x:v>Privado</x:v>
      </x:c>
      <x:c r="K80" s="308" t="str">
        <x:v>Centro-izquierda / liberal</x:v>
      </x:c>
      <x:c r="L80" s="308" t="str">
        <x:v>Sudafricana / regional</x:v>
      </x:c>
      <x:c r="M80" s="309" t="n">
        <x:v>4</x:v>
      </x:c>
      <x:c r="N80" s="309" t="n">
        <x:v>4</x:v>
      </x:c>
      <x:c r="O80" s="309" t="n">
        <x:v>4</x:v>
      </x:c>
      <x:c r="P80" s="309" t="n">
        <x:v>4</x:v>
      </x:c>
      <x:c r="Q80" s="309" t="n">
        <x:v>4</x:v>
      </x:c>
      <x:c r="R80" s="309" t="n">
        <x:v>4</x:v>
      </x:c>
      <x:c r="S80" s="311" t="n">
        <x:v>4</x:v>
      </x:c>
      <x:c r="T80" s="309" t="str">
        <x:v>Media-alta</x:v>
      </x:c>
      <x:c r="U80" s="308" t="str">
        <x:v>Sudáfrica, política regional, medioambiente y cultura</x:v>
      </x:c>
      <x:c r="V80" s="308" t="str">
        <x:v>Moderada</x:v>
      </x:c>
      <x:c r="W80" s="308" t="str">
        <x:v>Daily Maverick, amaBhungane, agencias y documentos</x:v>
      </x:c>
      <x:c r="X80" s="308" t="str">
        <x:v>Nuevo recomendado</x:v>
      </x:c>
      <x:c r="Y80" s="308" t="str">
        <x:v>Medio de referencia sudafricano; separar claramente investigación, noticias y comentario.</x:v>
      </x:c>
      <x:c r="Z80" s="308" t="str">
        <x:v>https://mg.co.za/about-us/</x:v>
      </x:c>
      <x:c r="AA80" s="310" t="n">
        <x:v>46219</x:v>
      </x:c>
    </x:row>
    <x:row r="81">
      <x:c r="A81" s="309" t="n">
        <x:v>82</x:v>
      </x:c>
      <x:c r="B81" s="312" t="str">
        <x:v>Premium Times</x:v>
      </x:c>
      <x:c r="C81" s="313" t="str">
        <x:v>https://www.premiumtimesng.com/</x:v>
      </x:c>
      <x:c r="D81" s="308" t="str">
        <x:v>Nigeria; redacción principal en Abuja</x:v>
      </x:c>
      <x:c r="E81" s="308" t="str">
        <x:v>África Occidental</x:v>
      </x:c>
      <x:c r="F81" s="308" t="str">
        <x:v>Inglés</x:v>
      </x:c>
      <x:c r="G81" s="308" t="str">
        <x:v>Medio independiente / generalista</x:v>
      </x:c>
      <x:c r="H81" s="404" t="str">
        <x:v>Noticias, investigación, datos y rendición de cuentas</x:v>
      </x:c>
      <x:c r="I81" s="308" t="str">
        <x:v>Empresa periodística nigeriana; publicidad, membresías y proyectos</x:v>
      </x:c>
      <x:c r="J81" s="308" t="str">
        <x:v>Privado</x:v>
      </x:c>
      <x:c r="K81" s="308" t="str">
        <x:v>Reformista / buen gobierno</x:v>
      </x:c>
      <x:c r="L81" s="308" t="str">
        <x:v>Nigeriana / África Occidental</x:v>
      </x:c>
      <x:c r="M81" s="309" t="n">
        <x:v>4</x:v>
      </x:c>
      <x:c r="N81" s="309" t="n">
        <x:v>4</x:v>
      </x:c>
      <x:c r="O81" s="309" t="n">
        <x:v>4</x:v>
      </x:c>
      <x:c r="P81" s="309" t="n">
        <x:v>4</x:v>
      </x:c>
      <x:c r="Q81" s="309" t="n">
        <x:v>4</x:v>
      </x:c>
      <x:c r="R81" s="309" t="n">
        <x:v>4</x:v>
      </x:c>
      <x:c r="S81" s="311" t="n">
        <x:v>4</x:v>
      </x:c>
      <x:c r="T81" s="309" t="str">
        <x:v>Media-alta</x:v>
      </x:c>
      <x:c r="U81" s="308" t="str">
        <x:v>Nigeria, democracia, corrupción, seguridad y economía</x:v>
      </x:c>
      <x:c r="V81" s="308" t="str">
        <x:v>Moderada</x:v>
      </x:c>
      <x:c r="W81" s="308" t="str">
        <x:v>Documentos, agencias y otros medios nigerianos</x:v>
      </x:c>
      <x:c r="X81" s="308" t="str">
        <x:v>Nuevo recomendado</x:v>
      </x:c>
      <x:c r="Y81" s="308" t="str">
        <x:v>Fuerte orientación al periodismo de interés público y proyectos de investigación colaborativa.</x:v>
      </x:c>
      <x:c r="Z81" s="308" t="str">
        <x:v>https://www.premiumtimesng.com/about</x:v>
      </x:c>
      <x:c r="AA81" s="310" t="n">
        <x:v>46219</x:v>
      </x:c>
    </x:row>
    <x:row r="82">
      <x:c r="A82" s="309" t="n">
        <x:v>89</x:v>
      </x:c>
      <x:c r="B82" s="312" t="str">
        <x:v>Radio Okapi</x:v>
      </x:c>
      <x:c r="C82" s="313" t="str">
        <x:v>https://www.radiookapi.net/</x:v>
      </x:c>
      <x:c r="D82" s="308" t="str">
        <x:v>República Democrática del Congo; gestionada por MONUSCO</x:v>
      </x:c>
      <x:c r="E82" s="308" t="str">
        <x:v>África Central</x:v>
      </x:c>
      <x:c r="F82" s="308" t="str">
        <x:v>Francés/Lingala/Swahili/Kikongo</x:v>
      </x:c>
      <x:c r="G82" s="308" t="str">
        <x:v>Radiodifusor de Naciones Unidas</x:v>
      </x:c>
      <x:c r="H82" s="404" t="str">
        <x:v>Noticias, servicio público y diálogo nacional</x:v>
      </x:c>
      <x:c r="I82" s="308" t="str">
        <x:v>Naciones Unidas / MONUSCO</x:v>
      </x:c>
      <x:c r="J82" s="308" t="str">
        <x:v>Internacional / oficial</x:v>
      </x:c>
      <x:c r="K82" s="308" t="str">
        <x:v>Servicio público / multilateral</x:v>
      </x:c>
      <x:c r="L82" s="308" t="str">
        <x:v>Congoleña / ONU</x:v>
      </x:c>
      <x:c r="M82" s="309" t="n">
        <x:v>4</x:v>
      </x:c>
      <x:c r="N82" s="309" t="n">
        <x:v>3</x:v>
      </x:c>
      <x:c r="O82" s="309" t="n">
        <x:v>5</x:v>
      </x:c>
      <x:c r="P82" s="309" t="n">
        <x:v>4</x:v>
      </x:c>
      <x:c r="Q82" s="309" t="n">
        <x:v>4</x:v>
      </x:c>
      <x:c r="R82" s="309" t="n">
        <x:v>5</x:v>
      </x:c>
      <x:c r="S82" s="311" t="n">
        <x:v>4.2</x:v>
      </x:c>
      <x:c r="T82" s="309" t="str">
        <x:v>Media-alta</x:v>
      </x:c>
      <x:c r="U82" s="308" t="str">
        <x:v>RDC, información territorial y comunicaciones de servicio público</x:v>
      </x:c>
      <x:c r="V82" s="308" t="str">
        <x:v>Moderada</x:v>
      </x:c>
      <x:c r="W82" s="308" t="str">
        <x:v>Medios congoleños independientes, agencias y documentación local</x:v>
      </x:c>
      <x:c r="X82" s="308" t="str">
        <x:v>Nuevo recomendado</x:v>
      </x:c>
      <x:c r="Y82" s="308" t="str">
        <x:v>Amplia red territorial y multilingüe; su vinculación con MONUSCO debe declararse en asuntos relacionados con la misión.</x:v>
      </x:c>
      <x:c r="Z82" s="308" t="str">
        <x:v>https://www.radiookapi.net/page/propos</x:v>
      </x:c>
      <x:c r="AA82" s="310" t="n">
        <x:v>46219</x:v>
      </x:c>
    </x:row>
    <x:row r="83">
      <x:c r="A83" s="309" t="n">
        <x:v>67</x:v>
      </x:c>
      <x:c r="B83" s="312" t="str">
        <x:v>IranWire</x:v>
      </x:c>
      <x:c r="C83" s="313" t="str">
        <x:v>https://iranwire.com/en/</x:v>
      </x:c>
      <x:c r="D83" s="308" t="str">
        <x:v>Diáspora; foco en Irán</x:v>
      </x:c>
      <x:c r="E83" s="308" t="str">
        <x:v>Irán</x:v>
      </x:c>
      <x:c r="F83" s="308" t="str">
        <x:v>Persa/Inglés</x:v>
      </x:c>
      <x:c r="G83" s="308" t="str">
        <x:v>Medio de oposición / DD. HH.</x:v>
      </x:c>
      <x:c r="H83" s="404" t="str">
        <x:v>Noticias, testimonios y documentación</x:v>
      </x:c>
      <x:c r="I83" s="308" t="str">
        <x:v>Independiente / diáspora</x:v>
      </x:c>
      <x:c r="J83" s="308" t="str">
        <x:v>Independiente</x:v>
      </x:c>
      <x:c r="K83" s="308" t="str">
        <x:v>Crítico del régimen</x:v>
      </x:c>
      <x:c r="L83" s="308" t="str">
        <x:v>Diáspora iraní</x:v>
      </x:c>
      <x:c r="M83" s="309" t="n">
        <x:v>3</x:v>
      </x:c>
      <x:c r="N83" s="309" t="n">
        <x:v>4</x:v>
      </x:c>
      <x:c r="O83" s="309" t="n">
        <x:v>3</x:v>
      </x:c>
      <x:c r="P83" s="309" t="n">
        <x:v>3</x:v>
      </x:c>
      <x:c r="Q83" s="309" t="n">
        <x:v>3</x:v>
      </x:c>
      <x:c r="R83" s="309" t="n">
        <x:v>4</x:v>
      </x:c>
      <x:c r="S83" s="311" t="n">
        <x:v>3.3</x:v>
      </x:c>
      <x:c r="T83" s="309" t="str">
        <x:v>Media</x:v>
      </x:c>
      <x:c r="U83" s="308" t="str">
        <x:v>Testimonios, sociedad iraní y temas censurados</x:v>
      </x:c>
      <x:c r="V83" s="308" t="str">
        <x:v>Alta</x:v>
      </x:c>
      <x:c r="W83" s="308" t="str">
        <x:v>Reuters, ONU, BBC Persian y verificación documental</x:v>
      </x:c>
      <x:c r="X83" s="308" t="str">
        <x:v>Uso condicionado</x:v>
      </x:c>
      <x:c r="Y83" s="308"/>
      <x:c r="Z83" s="308" t="str">
        <x:v>https://iranwire.com/en/</x:v>
      </x:c>
      <x:c r="AA83" s="310" t="n">
        <x:v>46219</x:v>
      </x:c>
    </x:row>
    <x:row r="84">
      <x:c r="A84" s="309" t="n">
        <x:v>74</x:v>
      </x:c>
      <x:c r="B84" s="312" t="str">
        <x:v>Shakuf — שקוף</x:v>
      </x:c>
      <x:c r="C84" s="313" t="str">
        <x:v>https://shakuf.co.il/</x:v>
      </x:c>
      <x:c r="D84" s="308" t="str">
        <x:v>Israel</x:v>
      </x:c>
      <x:c r="E84" s="308" t="str">
        <x:v>Medio Oriente</x:v>
      </x:c>
      <x:c r="F84" s="308" t="str">
        <x:v>Hebreo; páginas informativas en inglés y árabe</x:v>
      </x:c>
      <x:c r="G84" s="308" t="str">
        <x:v>Medio independiente / watchdog</x:v>
      </x:c>
      <x:c r="H84" s="404" t="str">
        <x:v>Periodismo de investigación, transparencia y fiscalización del poder</x:v>
      </x:c>
      <x:c r="I84" s="308" t="str">
        <x:v>Financiación directa del público; sin publicidad ni financiación gubernamental declarada</x:v>
      </x:c>
      <x:c r="J84" s="308" t="str">
        <x:v>Propiedad pública-comunitaria / independiente</x:v>
      </x:c>
      <x:c r="K84" s="308" t="str">
        <x:v>No partidista declarado; enfoque de transparencia</x:v>
      </x:c>
      <x:c r="L84" s="308" t="str">
        <x:v>Israelí / democracia, rendición de cuentas y anticorrupción</x:v>
      </x:c>
      <x:c r="M84" s="309" t="n">
        <x:v>4</x:v>
      </x:c>
      <x:c r="N84" s="309" t="n">
        <x:v>5</x:v>
      </x:c>
      <x:c r="O84" s="309" t="n">
        <x:v>5</x:v>
      </x:c>
      <x:c r="P84" s="309" t="n">
        <x:v>4</x:v>
      </x:c>
      <x:c r="Q84" s="309" t="n">
        <x:v>4</x:v>
      </x:c>
      <x:c r="R84" s="309" t="n">
        <x:v>5</x:v>
      </x:c>
      <x:c r="S84" s="311" t="n">
        <x:v>4.5</x:v>
      </x:c>
      <x:c r="T84" s="309" t="str">
        <x:v>Alta</x:v>
      </x:c>
      <x:c r="U84" s="308" t="str">
        <x:v>Investigación sobre corrupción, toma de decisiones, lobbies, medioambiente y economía en Israel</x:v>
      </x:c>
      <x:c r="V84" s="308" t="str">
        <x:v>Moderada</x:v>
      </x:c>
      <x:c r="W84" s="308" t="str">
        <x:v>Documentos originales, Kan, The Seventh Eye, Ha-Makom y otras fuentes israelíes</x:v>
      </x:c>
      <x:c r="X84" s="308" t="str">
        <x:v>Activo</x:v>
      </x:c>
      <x:c r="Y84" s="308" t="str">
        <x:v>Corregido el dominio. Shakuf declara estar financiado íntegramente por el público, sin anuncios, magnates, fundaciones ni financiación gubernamental; debe evaluarse como medio de investigación y watchdog, no como empresa comercial.</x:v>
      </x:c>
      <x:c r="Z84" s="308" t="str">
        <x:v>https://shakuf.co.il/english</x:v>
      </x:c>
      <x:c r="AA84" s="310" t="n">
        <x:v>46219</x:v>
      </x:c>
    </x:row>
    <x:row r="85">
      <x:c r="A85" s="309" t="n">
        <x:v>33</x:v>
      </x:c>
      <x:c r="B85" s="312" t="str">
        <x:v>ECFR</x:v>
      </x:c>
      <x:c r="C85" s="313" t="str">
        <x:v>https://ecfr.eu/</x:v>
      </x:c>
      <x:c r="D85" s="308" t="str">
        <x:v>Paneuropeo; oficinas en varias capitales</x:v>
      </x:c>
      <x:c r="E85" s="308" t="str">
        <x:v>Europa/Global</x:v>
      </x:c>
      <x:c r="F85" s="308" t="str">
        <x:v>Inglés y lenguas europeas</x:v>
      </x:c>
      <x:c r="G85" s="308" t="str">
        <x:v>Think tank</x:v>
      </x:c>
      <x:c r="H85" s="404" t="str">
        <x:v>Política exterior europea</x:v>
      </x:c>
      <x:c r="I85" s="308" t="str">
        <x:v>Organización sin fines de lucro</x:v>
      </x:c>
      <x:c r="J85" s="308" t="str">
        <x:v>ONG/think tank</x:v>
      </x:c>
      <x:c r="K85" s="308" t="str">
        <x:v>Europeísta liberal</x:v>
      </x:c>
      <x:c r="L85" s="308" t="str">
        <x:v>Europea estratégica</x:v>
      </x:c>
      <x:c r="M85" s="309" t="n">
        <x:v>4</x:v>
      </x:c>
      <x:c r="N85" s="309" t="n">
        <x:v>4</x:v>
      </x:c>
      <x:c r="O85" s="309" t="n">
        <x:v>5</x:v>
      </x:c>
      <x:c r="P85" s="309" t="n">
        <x:v>4</x:v>
      </x:c>
      <x:c r="Q85" s="309" t="n">
        <x:v>4</x:v>
      </x:c>
      <x:c r="R85" s="309" t="n">
        <x:v>5</x:v>
      </x:c>
      <x:c r="S85" s="311" t="n">
        <x:v>4.3</x:v>
      </x:c>
      <x:c r="T85" s="309" t="str">
        <x:v>Alta</x:v>
      </x:c>
      <x:c r="U85" s="308" t="str">
        <x:v>Política exterior y seguridad europea</x:v>
      </x:c>
      <x:c r="V85" s="308" t="str">
        <x:v>Moderada</x:v>
      </x:c>
      <x:c r="W85" s="308" t="str">
        <x:v>Instituciones UE, think tanks nacionales y datos</x:v>
      </x:c>
      <x:c r="X85" s="308" t="str">
        <x:v>Activo</x:v>
      </x:c>
      <x:c r="Y85" s="308" t="str">
        <x:v>Corregido: paneuropeo, no Reino Unido/Bélgica.</x:v>
      </x:c>
      <x:c r="Z85" s="308" t="str">
        <x:v>https://ecfr.eu/contact/</x:v>
      </x:c>
      <x:c r="AA85" s="310" t="n">
        <x:v>46219</x:v>
      </x:c>
    </x:row>
    <x:row r="86">
      <x:c r="A86" s="309" t="n">
        <x:v>7</x:v>
      </x:c>
      <x:c r="B86" s="312" t="str">
        <x:v>Politico</x:v>
      </x:c>
      <x:c r="C86" s="313" t="str">
        <x:v>https://www.politico.com/</x:v>
      </x:c>
      <x:c r="D86" s="308" t="str">
        <x:v>Estados Unidos / Europa</x:v>
      </x:c>
      <x:c r="E86" s="308" t="str">
        <x:v>Occidente</x:v>
      </x:c>
      <x:c r="F86" s="308" t="str">
        <x:v>Inglés</x:v>
      </x:c>
      <x:c r="G86" s="308" t="str">
        <x:v>Medio especializado</x:v>
      </x:c>
      <x:c r="H86" s="404" t="str">
        <x:v>Política pública y poder institucional</x:v>
      </x:c>
      <x:c r="I86" s="308" t="str">
        <x:v>Privado comercial</x:v>
      </x:c>
      <x:c r="J86" s="308" t="str">
        <x:v>Privado</x:v>
      </x:c>
      <x:c r="K86" s="308" t="str">
        <x:v>Centro</x:v>
      </x:c>
      <x:c r="L86" s="308" t="str">
        <x:v>Transatlántica / institucional</x:v>
      </x:c>
      <x:c r="M86" s="309" t="n">
        <x:v>4</x:v>
      </x:c>
      <x:c r="N86" s="309" t="n">
        <x:v>4</x:v>
      </x:c>
      <x:c r="O86" s="309" t="n">
        <x:v>4</x:v>
      </x:c>
      <x:c r="P86" s="309" t="n">
        <x:v>4</x:v>
      </x:c>
      <x:c r="Q86" s="309" t="n">
        <x:v>4</x:v>
      </x:c>
      <x:c r="R86" s="309" t="n">
        <x:v>4</x:v>
      </x:c>
      <x:c r="S86" s="311" t="n">
        <x:v>4</x:v>
      </x:c>
      <x:c r="T86" s="309" t="str">
        <x:v>Media-alta</x:v>
      </x:c>
      <x:c r="U86" s="308" t="str">
        <x:v>Política de EE. UU. y Unión Europea</x:v>
      </x:c>
      <x:c r="V86" s="308" t="str">
        <x:v>Moderada</x:v>
      </x:c>
      <x:c r="W86" s="308" t="str">
        <x:v>Documentos oficiales y agencias</x:v>
      </x:c>
      <x:c r="X86" s="308" t="str">
        <x:v>Activo</x:v>
      </x:c>
      <x:c r="Y86" s="308"/>
      <x:c r="Z86" s="308" t="str">
        <x:v>https://www.politico.com/</x:v>
      </x:c>
      <x:c r="AA86" s="310" t="n">
        <x:v>46219</x:v>
      </x:c>
    </x:row>
    <x:row r="87">
      <x:c r="A87" s="309" t="n">
        <x:v>84</x:v>
      </x:c>
      <x:c r="B87" s="312" t="str">
        <x:v>The EastAfrican</x:v>
      </x:c>
      <x:c r="C87" s="313" t="str">
        <x:v>https://www.theeastafrican.co.ke/</x:v>
      </x:c>
      <x:c r="D87" s="308" t="str">
        <x:v>Kenia; publicación regional de Nation Media Group</x:v>
      </x:c>
      <x:c r="E87" s="308" t="str">
        <x:v>África Oriental</x:v>
      </x:c>
      <x:c r="F87" s="308" t="str">
        <x:v>Inglés</x:v>
      </x:c>
      <x:c r="G87" s="308" t="str">
        <x:v>Medio regional</x:v>
      </x:c>
      <x:c r="H87" s="404" t="str">
        <x:v>Política, economía, diplomacia y Comunidad de África Oriental</x:v>
      </x:c>
      <x:c r="I87" s="308" t="str">
        <x:v>Nation Media Group</x:v>
      </x:c>
      <x:c r="J87" s="308" t="str">
        <x:v>Privado comercial</x:v>
      </x:c>
      <x:c r="K87" s="308" t="str">
        <x:v>Centro / regionalista</x:v>
      </x:c>
      <x:c r="L87" s="308" t="str">
        <x:v>África Oriental / integración EAC</x:v>
      </x:c>
      <x:c r="M87" s="309" t="n">
        <x:v>4</x:v>
      </x:c>
      <x:c r="N87" s="309" t="n">
        <x:v>4</x:v>
      </x:c>
      <x:c r="O87" s="309" t="n">
        <x:v>4</x:v>
      </x:c>
      <x:c r="P87" s="309" t="n">
        <x:v>4</x:v>
      </x:c>
      <x:c r="Q87" s="309" t="n">
        <x:v>4</x:v>
      </x:c>
      <x:c r="R87" s="309" t="n">
        <x:v>4</x:v>
      </x:c>
      <x:c r="S87" s="311" t="n">
        <x:v>4</x:v>
      </x:c>
      <x:c r="T87" s="309" t="str">
        <x:v>Media-alta</x:v>
      </x:c>
      <x:c r="U87" s="308" t="str">
        <x:v>Política y geoeconomía de África Oriental</x:v>
      </x:c>
      <x:c r="V87" s="308" t="str">
        <x:v>Moderada</x:v>
      </x:c>
      <x:c r="W87" s="308" t="str">
        <x:v>Medios nacionales, agencias y documentos de la EAC</x:v>
      </x:c>
      <x:c r="X87" s="308" t="str">
        <x:v>Nuevo recomendado</x:v>
      </x:c>
      <x:c r="Y87" s="308" t="str">
        <x:v>Publicación regional con cobertura de Kenia, Tanzania, Uganda, Ruanda, Burundi y Sudán del Sur.</x:v>
      </x:c>
      <x:c r="Z87" s="308" t="str">
        <x:v>https://www.theeastafrican.co.ke/tea/author-profiles/the-eastafrican-1368402</x:v>
      </x:c>
      <x:c r="AA87" s="310" t="n">
        <x:v>46219</x:v>
      </x:c>
    </x:row>
    <x:row r="88">
      <x:c r="A88" s="309" t="n">
        <x:v>88</x:v>
      </x:c>
      <x:c r="B88" s="312" t="str">
        <x:v>ACTUALITE.CD</x:v>
      </x:c>
      <x:c r="C88" s="313" t="str">
        <x:v>https://actualite.cd/</x:v>
      </x:c>
      <x:c r="D88" s="308" t="str">
        <x:v>República Democrática del Congo; redacción en Kinshasa y corresponsales nacionales</x:v>
      </x:c>
      <x:c r="E88" s="308" t="str">
        <x:v>África Central</x:v>
      </x:c>
      <x:c r="F88" s="308" t="str">
        <x:v>Francés</x:v>
      </x:c>
      <x:c r="G88" s="308" t="str">
        <x:v>Medio digital generalista</x:v>
      </x:c>
      <x:c r="H88" s="404" t="str">
        <x:v>Política, seguridad, economía y sociedad</x:v>
      </x:c>
      <x:c r="I88" s="308" t="str">
        <x:v>Groupe Next Corp.</x:v>
      </x:c>
      <x:c r="J88" s="308" t="str">
        <x:v>Privado</x:v>
      </x:c>
      <x:c r="K88" s="308" t="str">
        <x:v>Centro / institucional</x:v>
      </x:c>
      <x:c r="L88" s="308" t="str">
        <x:v>Congoleña</x:v>
      </x:c>
      <x:c r="M88" s="309" t="n">
        <x:v>4</x:v>
      </x:c>
      <x:c r="N88" s="309" t="n">
        <x:v>3</x:v>
      </x:c>
      <x:c r="O88" s="309" t="n">
        <x:v>3</x:v>
      </x:c>
      <x:c r="P88" s="309" t="n">
        <x:v>4</x:v>
      </x:c>
      <x:c r="Q88" s="309" t="n">
        <x:v>3</x:v>
      </x:c>
      <x:c r="R88" s="309" t="n">
        <x:v>4</x:v>
      </x:c>
      <x:c r="S88" s="311" t="n">
        <x:v>3.5</x:v>
      </x:c>
      <x:c r="T88" s="309" t="str">
        <x:v>Media-alta</x:v>
      </x:c>
      <x:c r="U88" s="308" t="str">
        <x:v>RDC, conflicto oriental, política y economía</x:v>
      </x:c>
      <x:c r="V88" s="308" t="str">
        <x:v>Alta en conflictos y primicias</x:v>
      </x:c>
      <x:c r="W88" s="308" t="str">
        <x:v>Radio Okapi, Reuters/AFP, MONUSCO, ACLED y medios locales</x:v>
      </x:c>
      <x:c r="X88" s="308" t="str">
        <x:v>Nuevo recomendado</x:v>
      </x:c>
      <x:c r="Y88" s="308" t="str">
        <x:v>Fuente local importante para la RDC; verificar información operativa sobre grupos armados y zonas de difícil acceso.</x:v>
      </x:c>
      <x:c r="Z88" s="308" t="str">
        <x:v>https://actualite.cd/</x:v>
      </x:c>
      <x:c r="AA88" s="310" t="n">
        <x:v>46219</x:v>
      </x:c>
    </x:row>
    <x:row r="89">
      <x:c r="A89" s="309" t="n">
        <x:v>22</x:v>
      </x:c>
      <x:c r="B89" s="312" t="str">
        <x:v>Ha-Makom</x:v>
      </x:c>
      <x:c r="C89" s="313" t="str">
        <x:v>https://www.ha-makom.co.il/</x:v>
      </x:c>
      <x:c r="D89" s="308" t="str">
        <x:v>Israel</x:v>
      </x:c>
      <x:c r="E89" s="308" t="str">
        <x:v>Medio Oriente</x:v>
      </x:c>
      <x:c r="F89" s="308" t="str">
        <x:v>Hebreo</x:v>
      </x:c>
      <x:c r="G89" s="308" t="str">
        <x:v>Investigación / medio crítico</x:v>
      </x:c>
      <x:c r="H89" s="404" t="str">
        <x:v>Reportajes e investigación</x:v>
      </x:c>
      <x:c r="I89" s="308" t="str">
        <x:v>Independiente</x:v>
      </x:c>
      <x:c r="J89" s="308" t="str">
        <x:v>Independiente</x:v>
      </x:c>
      <x:c r="K89" s="308" t="str">
        <x:v>Izquierda crítica</x:v>
      </x:c>
      <x:c r="L89" s="308" t="str">
        <x:v>Israelí / derechos civiles</x:v>
      </x:c>
      <x:c r="M89" s="309" t="n">
        <x:v>4</x:v>
      </x:c>
      <x:c r="N89" s="309" t="n">
        <x:v>4</x:v>
      </x:c>
      <x:c r="O89" s="309" t="n">
        <x:v>3</x:v>
      </x:c>
      <x:c r="P89" s="309" t="n">
        <x:v>4</x:v>
      </x:c>
      <x:c r="Q89" s="309" t="n">
        <x:v>3</x:v>
      </x:c>
      <x:c r="R89" s="309" t="n">
        <x:v>4</x:v>
      </x:c>
      <x:c r="S89" s="311" t="n">
        <x:v>3.7</x:v>
      </x:c>
      <x:c r="T89" s="309" t="str">
        <x:v>Media-alta</x:v>
      </x:c>
      <x:c r="U89" s="308" t="str">
        <x:v>Investigación social y política israelí</x:v>
      </x:c>
      <x:c r="V89" s="308" t="str">
        <x:v>Moderada</x:v>
      </x:c>
      <x:c r="W89" s="308" t="str">
        <x:v>Documentos, medios nacionales y fuentes de signo distinto</x:v>
      </x:c>
      <x:c r="X89" s="308" t="str">
        <x:v>Activo</x:v>
      </x:c>
      <x:c r="Y89" s="308" t="str">
        <x:v>Reubicado fuera de la categoría mainstream.</x:v>
      </x:c>
      <x:c r="Z89" s="308" t="str">
        <x:v>https://www.ha-makom.co.il/</x:v>
      </x:c>
      <x:c r="AA89" s="310" t="n">
        <x:v>46219</x:v>
      </x:c>
    </x:row>
    <x:row r="90">
      <x:c r="A90" s="309" t="n">
        <x:v>35</x:v>
      </x:c>
      <x:c r="B90" s="312" t="str">
        <x:v>Eurasia Group</x:v>
      </x:c>
      <x:c r="C90" s="313" t="str">
        <x:v>https://www.eurasiagroup.net/</x:v>
      </x:c>
      <x:c r="D90" s="308" t="str">
        <x:v>Estados Unidos; alcance global</x:v>
      </x:c>
      <x:c r="E90" s="308" t="str">
        <x:v>Global</x:v>
      </x:c>
      <x:c r="F90" s="308" t="str">
        <x:v>Inglés</x:v>
      </x:c>
      <x:c r="G90" s="308" t="str">
        <x:v>Consultoría</x:v>
      </x:c>
      <x:c r="H90" s="404" t="str">
        <x:v>Riesgo político y escenarios</x:v>
      </x:c>
      <x:c r="I90" s="308" t="str">
        <x:v>Privado comercial</x:v>
      </x:c>
      <x:c r="J90" s="308" t="str">
        <x:v>Privado</x:v>
      </x:c>
      <x:c r="K90" s="308" t="str">
        <x:v>Pragmática / promercado</x:v>
      </x:c>
      <x:c r="L90" s="308" t="str">
        <x:v>Riesgo para empresas e inversores</x:v>
      </x:c>
      <x:c r="M90" s="309" t="n">
        <x:v>4</x:v>
      </x:c>
      <x:c r="N90" s="309" t="n">
        <x:v>3</x:v>
      </x:c>
      <x:c r="O90" s="309" t="n">
        <x:v>4</x:v>
      </x:c>
      <x:c r="P90" s="309" t="n">
        <x:v>4</x:v>
      </x:c>
      <x:c r="Q90" s="309" t="n">
        <x:v>3</x:v>
      </x:c>
      <x:c r="R90" s="309" t="n">
        <x:v>4</x:v>
      </x:c>
      <x:c r="S90" s="311" t="n">
        <x:v>3.7</x:v>
      </x:c>
      <x:c r="T90" s="309" t="str">
        <x:v>Media-alta</x:v>
      </x:c>
      <x:c r="U90" s="308" t="str">
        <x:v>Escenarios y riesgo geopolítico</x:v>
      </x:c>
      <x:c r="V90" s="308" t="str">
        <x:v>Moderada</x:v>
      </x:c>
      <x:c r="W90" s="308" t="str">
        <x:v>Fuentes públicas, bancos centrales y análisis alternativos</x:v>
      </x:c>
      <x:c r="X90" s="308" t="str">
        <x:v>Activo</x:v>
      </x:c>
      <x:c r="Y90" s="308" t="str">
        <x:v>Distinguir investigación pública de productos comerciales.</x:v>
      </x:c>
      <x:c r="Z90" s="308" t="str">
        <x:v>https://www.eurasiagroup.net/</x:v>
      </x:c>
      <x:c r="AA90" s="310" t="n">
        <x:v>46219</x:v>
      </x:c>
    </x:row>
    <x:row r="91">
      <x:c r="A91" s="309" t="n">
        <x:v>39</x:v>
      </x:c>
      <x:c r="B91" s="312" t="str">
        <x:v>Long War Journal</x:v>
      </x:c>
      <x:c r="C91" s="313" t="str">
        <x:v>https://www.longwarjournal.org/</x:v>
      </x:c>
      <x:c r="D91" s="308" t="str">
        <x:v>Estados Unidos</x:v>
      </x:c>
      <x:c r="E91" s="308" t="str">
        <x:v>Global</x:v>
      </x:c>
      <x:c r="F91" s="308" t="str">
        <x:v>Inglés</x:v>
      </x:c>
      <x:c r="G91" s="308" t="str">
        <x:v>Análisis de seguridad</x:v>
      </x:c>
      <x:c r="H91" s="404" t="str">
        <x:v>Seguimiento de conflictos y grupos armados</x:v>
      </x:c>
      <x:c r="I91" s="308" t="str">
        <x:v>Proyecto de organización de seguridad</x:v>
      </x:c>
      <x:c r="J91" s="308" t="str">
        <x:v>ONG/think tank</x:v>
      </x:c>
      <x:c r="K91" s="308" t="str">
        <x:v>Halcón / contraterrorismo</x:v>
      </x:c>
      <x:c r="L91" s="308" t="str">
        <x:v>Estadounidense / seguridad nacional</x:v>
      </x:c>
      <x:c r="M91" s="309" t="n">
        <x:v>4</x:v>
      </x:c>
      <x:c r="N91" s="309" t="n">
        <x:v>3</x:v>
      </x:c>
      <x:c r="O91" s="309" t="n">
        <x:v>4</x:v>
      </x:c>
      <x:c r="P91" s="309" t="n">
        <x:v>4</x:v>
      </x:c>
      <x:c r="Q91" s="309" t="n">
        <x:v>3</x:v>
      </x:c>
      <x:c r="R91" s="309" t="n">
        <x:v>3</x:v>
      </x:c>
      <x:c r="S91" s="311" t="n">
        <x:v>3.5</x:v>
      </x:c>
      <x:c r="T91" s="309" t="str">
        <x:v>Media-alta</x:v>
      </x:c>
      <x:c r="U91" s="308" t="str">
        <x:v>Conflictos y organizaciones yihadistas</x:v>
      </x:c>
      <x:c r="V91" s="308" t="str">
        <x:v>Alta</x:v>
      </x:c>
      <x:c r="W91" s="308" t="str">
        <x:v>ACLED, ONU, prensa local y fuentes independientes</x:v>
      </x:c>
      <x:c r="X91" s="308" t="str">
        <x:v>Uso condicionado</x:v>
      </x:c>
      <x:c r="Y91" s="308"/>
      <x:c r="Z91" s="308" t="str">
        <x:v>https://www.longwarjournal.org/</x:v>
      </x:c>
      <x:c r="AA91" s="310" t="n">
        <x:v>46219</x:v>
      </x:c>
    </x:row>
    <x:row r="92">
      <x:c r="A92" s="309" t="n">
        <x:v>37</x:v>
      </x:c>
      <x:c r="B92" s="312" t="str">
        <x:v>INSS</x:v>
      </x:c>
      <x:c r="C92" s="313" t="str">
        <x:v>https://www.inss.org.il/</x:v>
      </x:c>
      <x:c r="D92" s="308" t="str">
        <x:v>Israel</x:v>
      </x:c>
      <x:c r="E92" s="308" t="str">
        <x:v>Medio Oriente</x:v>
      </x:c>
      <x:c r="F92" s="308" t="str">
        <x:v>Hebreo/Inglés</x:v>
      </x:c>
      <x:c r="G92" s="308" t="str">
        <x:v>Think tank</x:v>
      </x:c>
      <x:c r="H92" s="404" t="str">
        <x:v>Seguridad nacional y estrategia</x:v>
      </x:c>
      <x:c r="I92" s="308" t="str">
        <x:v>Instituto sin fines de lucro</x:v>
      </x:c>
      <x:c r="J92" s="308" t="str">
        <x:v>ONG/think tank</x:v>
      </x:c>
      <x:c r="K92" s="308" t="str">
        <x:v>Establishment de seguridad; plural interno</x:v>
      </x:c>
      <x:c r="L92" s="308" t="str">
        <x:v>Israelí / seguridad nacional</x:v>
      </x:c>
      <x:c r="M92" s="309" t="n">
        <x:v>4</x:v>
      </x:c>
      <x:c r="N92" s="309" t="n">
        <x:v>4</x:v>
      </x:c>
      <x:c r="O92" s="309" t="n">
        <x:v>4</x:v>
      </x:c>
      <x:c r="P92" s="309" t="n">
        <x:v>4</x:v>
      </x:c>
      <x:c r="Q92" s="309" t="n">
        <x:v>3</x:v>
      </x:c>
      <x:c r="R92" s="309" t="n">
        <x:v>4</x:v>
      </x:c>
      <x:c r="S92" s="311" t="n">
        <x:v>3.8</x:v>
      </x:c>
      <x:c r="T92" s="309" t="str">
        <x:v>Media-alta</x:v>
      </x:c>
      <x:c r="U92" s="308" t="str">
        <x:v>Seguridad israelí y escenarios regionales</x:v>
      </x:c>
      <x:c r="V92" s="308" t="str">
        <x:v>Moderada-alta</x:v>
      </x:c>
      <x:c r="W92" s="308" t="str">
        <x:v>Think tanks árabes, IISS, RUSI y fuentes primarias</x:v>
      </x:c>
      <x:c r="X92" s="308" t="str">
        <x:v>Activo</x:v>
      </x:c>
      <x:c r="Y92" s="308"/>
      <x:c r="Z92" s="308" t="str">
        <x:v>https://www.inss.org.il/</x:v>
      </x:c>
      <x:c r="AA92" s="310" t="n">
        <x:v>46219</x:v>
      </x:c>
    </x:row>
    <x:row r="93">
      <x:c r="A93" s="309" t="n">
        <x:v>77</x:v>
      </x:c>
      <x:c r="B93" s="312" t="str">
        <x:v>ISS Africa</x:v>
      </x:c>
      <x:c r="C93" s="313" t="str">
        <x:v>https://issafrica.org/</x:v>
      </x:c>
      <x:c r="D93" s="308" t="str">
        <x:v>Sede en Pretoria; oficinas regionales en Nairobi, Addis Ababa y Dakar</x:v>
      </x:c>
      <x:c r="E93" s="308" t="str">
        <x:v>África - Pancontinental</x:v>
      </x:c>
      <x:c r="F93" s="308" t="str">
        <x:v>Inglés/Francés</x:v>
      </x:c>
      <x:c r="G93" s="308" t="str">
        <x:v>Think tank</x:v>
      </x:c>
      <x:c r="H93" s="404" t="str">
        <x:v>Seguridad, gobernanza, crimen, paz y análisis de políticas</x:v>
      </x:c>
      <x:c r="I93" s="308" t="str">
        <x:v>Organización sin fines de lucro; donantes y socios institucionales</x:v>
      </x:c>
      <x:c r="J93" s="308" t="str">
        <x:v>ONG / think tank</x:v>
      </x:c>
      <x:c r="K93" s="308" t="str">
        <x:v>Centrista / seguridad humana</x:v>
      </x:c>
      <x:c r="L93" s="308" t="str">
        <x:v>Pan-africana / políticas públicas</x:v>
      </x:c>
      <x:c r="M93" s="309" t="n">
        <x:v>5</x:v>
      </x:c>
      <x:c r="N93" s="309" t="n">
        <x:v>5</x:v>
      </x:c>
      <x:c r="O93" s="309" t="n">
        <x:v>5</x:v>
      </x:c>
      <x:c r="P93" s="309" t="n">
        <x:v>5</x:v>
      </x:c>
      <x:c r="Q93" s="309" t="n">
        <x:v>4</x:v>
      </x:c>
      <x:c r="R93" s="309" t="n">
        <x:v>5</x:v>
      </x:c>
      <x:c r="S93" s="311" t="n">
        <x:v>4.8</x:v>
      </x:c>
      <x:c r="T93" s="309" t="str">
        <x:v>Alta</x:v>
      </x:c>
      <x:c r="U93" s="308" t="str">
        <x:v>Seguridad, gobernanza, crimen organizado y Unión Africana</x:v>
      </x:c>
      <x:c r="V93" s="308" t="str">
        <x:v>Moderada</x:v>
      </x:c>
      <x:c r="W93" s="308" t="str">
        <x:v>Datos oficiales, ACLED, ONU y análisis nacionales</x:v>
      </x:c>
      <x:c r="X93" s="308" t="str">
        <x:v>Nuevo recomendado</x:v>
      </x:c>
      <x:c r="Y93" s="308" t="str">
        <x:v>Aporta análisis producido desde oficinas africanas y orientado a decisiones de política pública.</x:v>
      </x:c>
      <x:c r="Z93" s="308" t="str">
        <x:v>https://issafrica.org/about-us</x:v>
      </x:c>
      <x:c r="AA93" s="310" t="n">
        <x:v>46219</x:v>
      </x:c>
    </x:row>
    <x:row r="94">
      <x:c r="A94" s="309" t="n">
        <x:v>79</x:v>
      </x:c>
      <x:c r="B94" s="312" t="str">
        <x:v>African Union (AU)</x:v>
      </x:c>
      <x:c r="C94" s="313" t="str">
        <x:v>https://au.int/</x:v>
      </x:c>
      <x:c r="D94" s="308" t="str">
        <x:v>Organización continental de 55 Estados miembros; Comisión con sede en Addis Ababa</x:v>
      </x:c>
      <x:c r="E94" s="308" t="str">
        <x:v>África - Pancontinental</x:v>
      </x:c>
      <x:c r="F94" s="308" t="str">
        <x:v>Multilingüe</x:v>
      </x:c>
      <x:c r="G94" s="308" t="str">
        <x:v>Organismo internacional</x:v>
      </x:c>
      <x:c r="H94" s="404" t="str">
        <x:v>Tratados, comunicados, decisiones, datos y posiciones oficiales</x:v>
      </x:c>
      <x:c r="I94" s="308" t="str">
        <x:v>Estados miembros</x:v>
      </x:c>
      <x:c r="J94" s="308" t="str">
        <x:v>Oficial / multilateral</x:v>
      </x:c>
      <x:c r="K94" s="308" t="str">
        <x:v>Institucional</x:v>
      </x:c>
      <x:c r="L94" s="308" t="str">
        <x:v>Continental / integración africana</x:v>
      </x:c>
      <x:c r="M94" s="309" t="n">
        <x:v>4</x:v>
      </x:c>
      <x:c r="N94" s="309" t="n">
        <x:v>2</x:v>
      </x:c>
      <x:c r="O94" s="309" t="n">
        <x:v>5</x:v>
      </x:c>
      <x:c r="P94" s="309" t="n">
        <x:v>4</x:v>
      </x:c>
      <x:c r="Q94" s="309" t="n">
        <x:v>4</x:v>
      </x:c>
      <x:c r="R94" s="309" t="n">
        <x:v>5</x:v>
      </x:c>
      <x:c r="S94" s="311" t="n">
        <x:v>4</x:v>
      </x:c>
      <x:c r="T94" s="309" t="str">
        <x:v>Media-alta</x:v>
      </x:c>
      <x:c r="U94" s="308" t="str">
        <x:v>Fuente primaria para decisiones, tratados y posiciones de la Unión Africana</x:v>
      </x:c>
      <x:c r="V94" s="308" t="str">
        <x:v>Moderada; obligatoria para controversias políticas</x:v>
      </x:c>
      <x:c r="W94" s="308" t="str">
        <x:v>Estados miembros, prensa independiente, ONU e instituciones regionales</x:v>
      </x:c>
      <x:c r="X94" s="308" t="str">
        <x:v>Nuevo recomendado</x:v>
      </x:c>
      <x:c r="Y94" s="308" t="str">
        <x:v>Fuente oficial continental: competente para documentos y posiciones propias, no para verificación independiente.</x:v>
      </x:c>
      <x:c r="Z94" s="308" t="str">
        <x:v>https://au.int/en/overview</x:v>
      </x:c>
      <x:c r="AA94" s="310" t="n">
        <x:v>46219</x:v>
      </x:c>
    </x:row>
    <x:row r="95">
      <x:c r="A95" s="309" t="n">
        <x:v>57</x:v>
      </x:c>
      <x:c r="B95" s="312" t="str">
        <x:v>IAEA / OIEA</x:v>
      </x:c>
      <x:c r="C95" s="313" t="str">
        <x:v>https://www.iaea.org/</x:v>
      </x:c>
      <x:c r="D95" s="308" t="str">
        <x:v>Organización internacional; sede en Viena</x:v>
      </x:c>
      <x:c r="E95" s="308" t="str">
        <x:v>Global</x:v>
      </x:c>
      <x:c r="F95" s="308" t="str">
        <x:v>Multilingüe</x:v>
      </x:c>
      <x:c r="G95" s="308" t="str">
        <x:v>Organismo internacional</x:v>
      </x:c>
      <x:c r="H95" s="404" t="str">
        <x:v>Verificación nuclear y salvaguardias</x:v>
      </x:c>
      <x:c r="I95" s="308" t="str">
        <x:v>Estados miembros</x:v>
      </x:c>
      <x:c r="J95" s="308" t="str">
        <x:v>Internacional</x:v>
      </x:c>
      <x:c r="K95" s="308" t="str">
        <x:v>Técnica / multilateral</x:v>
      </x:c>
      <x:c r="L95" s="308" t="str">
        <x:v>No proliferación nuclear</x:v>
      </x:c>
      <x:c r="M95" s="309" t="n">
        <x:v>5</x:v>
      </x:c>
      <x:c r="N95" s="309" t="n">
        <x:v>4</x:v>
      </x:c>
      <x:c r="O95" s="309" t="n">
        <x:v>5</x:v>
      </x:c>
      <x:c r="P95" s="309" t="n">
        <x:v>5</x:v>
      </x:c>
      <x:c r="Q95" s="309" t="n">
        <x:v>5</x:v>
      </x:c>
      <x:c r="R95" s="309" t="n">
        <x:v>5</x:v>
      </x:c>
      <x:c r="S95" s="311" t="n">
        <x:v>4.8</x:v>
      </x:c>
      <x:c r="T95" s="309" t="str">
        <x:v>Alta</x:v>
      </x:c>
      <x:c r="U95" s="308" t="str">
        <x:v>Verificación nuclear y documentos técnicos</x:v>
      </x:c>
      <x:c r="V95" s="308" t="str">
        <x:v>Baja a moderada</x:v>
      </x:c>
      <x:c r="W95" s="308" t="str">
        <x:v>Informes nacionales y documentación complementaria</x:v>
      </x:c>
      <x:c r="X95" s="308" t="str">
        <x:v>Activo</x:v>
      </x:c>
      <x:c r="Y95" s="308" t="str">
        <x:v>Corregido: Austria es la sede, no la nacionalidad institucional.</x:v>
      </x:c>
      <x:c r="Z95" s="308" t="str">
        <x:v>https://www.iaea.org/about/partnerships/united-nations-system</x:v>
      </x:c>
      <x:c r="AA95" s="310" t="n">
        <x:v>46219</x:v>
      </x:c>
    </x:row>
    <x:row r="96">
      <x:c r="A96" s="61" t="n">
        <x:v>62</x:v>
      </x:c>
      <x:c r="B96" s="73" t="str">
        <x:v>Bellingcat</x:v>
      </x:c>
      <x:c r="C96" s="77" t="str">
        <x:v>https://www.bellingcat.com/</x:v>
      </x:c>
      <x:c r="D96" s="53" t="str">
        <x:v>Países Bajos; red internacional</x:v>
      </x:c>
      <x:c r="E96" s="53" t="str">
        <x:v>Global</x:v>
      </x:c>
      <x:c r="F96" s="53" t="str">
        <x:v>Inglés y otros</x:v>
      </x:c>
      <x:c r="G96" s="53" t="str">
        <x:v>OSINT / investigación</x:v>
      </x:c>
      <x:c r="H96" s="405" t="str">
        <x:v>Verificación visual y reconstrucción de hechos</x:v>
      </x:c>
      <x:c r="I96" s="53" t="str">
        <x:v>Organización independiente</x:v>
      </x:c>
      <x:c r="J96" s="53" t="str">
        <x:v>Independiente</x:v>
      </x:c>
      <x:c r="K96" s="53" t="str">
        <x:v>Liberal / derechos humanos</x:v>
      </x:c>
      <x:c r="L96" s="53" t="str">
        <x:v>OSINT transnacional</x:v>
      </x:c>
      <x:c r="M96" s="61" t="n">
        <x:v>5</x:v>
      </x:c>
      <x:c r="N96" s="61" t="n">
        <x:v>4</x:v>
      </x:c>
      <x:c r="O96" s="61" t="n">
        <x:v>5</x:v>
      </x:c>
      <x:c r="P96" s="61" t="n">
        <x:v>5</x:v>
      </x:c>
      <x:c r="Q96" s="61" t="n">
        <x:v>4</x:v>
      </x:c>
      <x:c r="R96" s="61" t="n">
        <x:v>5</x:v>
      </x:c>
      <x:c r="S96" s="69" t="n">
        <x:v>4.7</x:v>
      </x:c>
      <x:c r="T96" s="61" t="str">
        <x:v>Alta</x:v>
      </x:c>
      <x:c r="U96" s="53" t="str">
        <x:v>Geolocalización, imágenes y verificación digital</x:v>
      </x:c>
      <x:c r="V96" s="53" t="str">
        <x:v>Moderada</x:v>
      </x:c>
      <x:c r="W96" s="53" t="str">
        <x:v>Datos originales, expertos y otras investigaciones OSINT</x:v>
      </x:c>
      <x:c r="X96" s="53" t="str">
        <x:v>Activo</x:v>
      </x:c>
      <x:c r="Y96" s="53"/>
      <x:c r="Z96" s="53" t="str">
        <x:v>https://www.bellingcat.com/</x:v>
      </x:c>
      <x:c r="AA96" s="65" t="n">
        <x:v>46219</x:v>
      </x:c>
    </x:row>
    <x:row r="97">
      <x:c r="A97" t="n">
        <x:v>93</x:v>
      </x:c>
      <x:c r="B97" t="str">
        <x:v>Geopolitical Futures</x:v>
      </x:c>
      <x:c r="C97" t="str">
        <x:v>https://geopoliticalfutures.com/</x:v>
      </x:c>
      <x:c r="D97" t="str">
        <x:v>Estados Unidos; sede en Austin, Texas; alcance global</x:v>
      </x:c>
      <x:c r="E97" t="str">
        <x:v>Global/Occidente</x:v>
      </x:c>
      <x:c r="F97" t="str">
        <x:v>Inglés</x:v>
      </x:c>
      <x:c r="G97" t="str">
        <x:v>Publicación especializada de análisis geopolítico</x:v>
      </x:c>
      <x:c r="H97" t="str">
        <x:v>Análisis estratégico, prospectiva y evaluación de riesgos geopolíticos</x:v>
      </x:c>
      <x:c r="I97" t="str">
        <x:v>Empresa privada; modelo de suscripción y apoyo de lectores</x:v>
      </x:c>
      <x:c r="J97" t="str">
        <x:v>Privado</x:v>
      </x:c>
      <x:c r="K97" t="str">
        <x:v>Realista / pragmático</x:v>
      </x:c>
      <x:c r="L97" t="str">
        <x:v>Estadounidense / realista geoestratégica</x:v>
      </x:c>
      <x:c r="M97" t="n">
        <x:v>4</x:v>
      </x:c>
      <x:c r="N97" t="n">
        <x:v>4</x:v>
      </x:c>
      <x:c r="O97" t="n">
        <x:v>3</x:v>
      </x:c>
      <x:c r="P97" t="n">
        <x:v>4</x:v>
      </x:c>
      <x:c r="Q97" t="n">
        <x:v>3</x:v>
      </x:c>
      <x:c r="R97" t="n">
        <x:v>4</x:v>
      </x:c>
      <x:c r="S97" t="n">
        <x:v>3.7</x:v>
      </x:c>
      <x:c r="T97" t="str">
        <x:v>Media-alta</x:v>
      </x:c>
      <x:c r="U97" t="str">
        <x:v>Escenarios, análisis estructural y seguimiento de riesgos geopolíticos</x:v>
      </x:c>
      <x:c r="V97" t="str">
        <x:v>Moderada-alta</x:v>
      </x:c>
      <x:c r="W97" t="str">
        <x:v>Reuters/AP, fuentes primarias, think tanks de perspectivas distintas y medios locales</x:v>
      </x:c>
      <x:c r="X97" t="str">
        <x:v>Nuevo recomendado</x:v>
      </x:c>
      <x:c r="Y97" t="str">
        <x:v>Fundada por George Friedman. Ofrece análisis y previsiones mediante un modelo propio; sus interpretaciones y pronósticos deben contrastarse con datos, fuentes primarias y perspectivas regionales. No usar como confirmación única de hechos.</x:v>
      </x:c>
      <x:c r="Z97" t="str">
        <x:v>https://geopoliticalfutures.com/analysis/</x:v>
      </x:c>
      <x:c r="AA97" t="n">
        <x:v>46229</x:v>
      </x:c>
    </x:row>
  </x:sheetData>
  <x:mergeCells>
    <x:mergeCell ref="A1:AA1"/>
    <x:mergeCell ref="A2:AA2"/>
  </x:mergeCells>
  <x:pageMargins left="0.7" right="0.7" top="0.75" bottom="0.75" header="0.3" footer="0.3"/>
  <x:tableParts count="1">
    <x:tablePart xmlns:r="http://schemas.openxmlformats.org/officeDocument/2006/relationships" r:id="Reea4b2f248614ea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8" hidden="0" customWidth="1"/>
    <x:col min="3" max="3" width="34" hidden="0" customWidth="1"/>
    <x:col min="4" max="4" width="27" hidden="0" customWidth="1"/>
    <x:col min="5" max="5" width="22" hidden="0" customWidth="1"/>
    <x:col min="6" max="6" width="19" hidden="0" customWidth="1"/>
    <x:col min="7" max="7" width="24" hidden="0" customWidth="1"/>
    <x:col min="8" max="8" width="30" hidden="0" customWidth="1"/>
    <x:col min="9" max="9" width="28" hidden="0" customWidth="1"/>
    <x:col min="10" max="10" width="20" hidden="0" customWidth="1"/>
    <x:col min="11" max="11" width="24" hidden="0" customWidth="1"/>
    <x:col min="12" max="12" width="28" hidden="0" customWidth="1"/>
    <x:col min="13" max="13" width="13" hidden="0" customWidth="1"/>
    <x:col min="14" max="14" width="14" hidden="0" customWidth="1"/>
    <x:col min="15" max="15" width="13" hidden="0" customWidth="1"/>
    <x:col min="16" max="16" width="13" hidden="0" customWidth="1"/>
    <x:col min="17" max="17" width="14" hidden="0" customWidth="1"/>
    <x:col min="18" max="18" width="15" hidden="0" customWidth="1"/>
    <x:col min="19" max="19" width="12" hidden="0" customWidth="1"/>
    <x:col min="20" max="20" width="15" hidden="0" customWidth="1"/>
    <x:col min="21" max="21" width="33" hidden="0" customWidth="1"/>
    <x:col min="22" max="22" width="24" hidden="0" customWidth="1"/>
    <x:col min="23" max="23" width="35" hidden="0" customWidth="1"/>
    <x:col min="24" max="24" width="18" hidden="0" customWidth="1"/>
    <x:col min="25" max="25" width="44" hidden="0" customWidth="1"/>
    <x:col min="26" max="26" width="38" hidden="0" customWidth="1"/>
    <x:col min="27" max="27" width="15" hidden="0" customWidth="1"/>
  </x:cols>
  <x:sheetData>
    <x:row r="1" ht="30" customHeight="1">
      <x:c r="A1" s="394" t="str">
        <x:v>Fuentes ordenadas por perspectiva geopolítica</x:v>
      </x:c>
      <x:c r="B1" s="394"/>
      <x:c r="C1" s="394"/>
      <x:c r="D1" s="394"/>
      <x:c r="E1" s="394"/>
      <x:c r="F1" s="394"/>
      <x:c r="G1" s="394"/>
      <x:c r="H1" s="394"/>
      <x:c r="I1" s="394"/>
      <x:c r="J1" s="394"/>
      <x:c r="K1" s="394"/>
      <x:c r="L1" s="394"/>
      <x:c r="M1" s="394"/>
      <x:c r="N1" s="394"/>
      <x:c r="O1" s="394"/>
      <x:c r="P1" s="394"/>
      <x:c r="Q1" s="394"/>
      <x:c r="R1" s="394"/>
      <x:c r="S1" s="394"/>
      <x:c r="T1" s="394"/>
      <x:c r="U1" s="394"/>
      <x:c r="V1" s="394"/>
      <x:c r="W1" s="394"/>
      <x:c r="X1" s="394"/>
      <x:c r="Y1" s="394"/>
      <x:c r="Z1" s="394"/>
      <x:c r="AA1" s="394"/>
    </x:row>
    <x:row r="2" ht="34" customHeight="1">
      <x:c r="A2" s="398" t="str">
        <x:v>Utilice los filtros de la fila 4. La columna L está resaltada. La perspectiva debe leerse junto con la fiabilidad, el uso recomendado y la corroboración. Se conservan M:AA.</x:v>
      </x:c>
      <x:c r="B2" s="398"/>
      <x:c r="C2" s="398"/>
      <x:c r="D2" s="398"/>
      <x:c r="E2" s="398"/>
      <x:c r="F2" s="398"/>
      <x:c r="G2" s="398"/>
      <x:c r="H2" s="398"/>
      <x:c r="I2" s="398"/>
      <x:c r="J2" s="398"/>
      <x:c r="K2" s="398"/>
      <x:c r="L2" s="398"/>
      <x:c r="M2" s="398"/>
      <x:c r="N2" s="398"/>
      <x:c r="O2" s="398"/>
      <x:c r="P2" s="398"/>
      <x:c r="Q2" s="398"/>
      <x:c r="R2" s="398"/>
      <x:c r="S2" s="398"/>
      <x:c r="T2" s="398"/>
      <x:c r="U2" s="398"/>
      <x:c r="V2" s="398"/>
      <x:c r="W2" s="398"/>
      <x:c r="X2" s="398"/>
      <x:c r="Y2" s="398"/>
      <x:c r="Z2" s="398"/>
      <x:c r="AA2" s="398"/>
    </x:row>
    <x:row r="4" ht="48" customHeight="1">
      <x:c r="A4" s="403" t="str">
        <x:v>ID</x:v>
      </x:c>
      <x:c r="B4" s="403" t="str">
        <x:v>Nombre</x:v>
      </x:c>
      <x:c r="C4" s="403" t="str">
        <x:v>URL</x:v>
      </x:c>
      <x:c r="D4" s="403" t="str">
        <x:v>Sede / alcance institucional</x:v>
      </x:c>
      <x:c r="E4" s="403" t="str">
        <x:v>Región principal</x:v>
      </x:c>
      <x:c r="F4" s="403" t="str">
        <x:v>Idioma / edición</x:v>
      </x:c>
      <x:c r="G4" s="403" t="str">
        <x:v>Familia de fuente</x:v>
      </x:c>
      <x:c r="H4" s="403" t="str">
        <x:v>Función epistemológica</x:v>
      </x:c>
      <x:c r="I4" s="403" t="str">
        <x:v>Propiedad / financiación</x:v>
      </x:c>
      <x:c r="J4" s="403" t="str">
        <x:v>Tipo de control</x:v>
      </x:c>
      <x:c r="K4" s="403" t="str">
        <x:v>Orientación editorial</x:v>
      </x:c>
      <x:c r="L4" s="403" t="str">
        <x:v>Perspectiva geopolítica</x:v>
      </x:c>
      <x:c r="M4" s="403" t="str">
        <x:v>Fiabilidad factual (1-5)</x:v>
      </x:c>
      <x:c r="N4" s="403" t="str">
        <x:v>Independencia editorial (1-5)</x:v>
      </x:c>
      <x:c r="O4" s="403" t="str">
        <x:v>Transparencia (1-5)</x:v>
      </x:c>
      <x:c r="P4" s="403" t="str">
        <x:v>Rigor metodológico (1-5)</x:v>
      </x:c>
      <x:c r="Q4" s="403" t="str">
        <x:v>Política de correcciones (1-5)</x:v>
      </x:c>
      <x:c r="R4" s="403" t="str">
        <x:v>Separación noticia/opinión (1-5)</x:v>
      </x:c>
      <x:c r="S4" s="403" t="str">
        <x:v>Puntuación global</x:v>
      </x:c>
      <x:c r="T4" s="403" t="str">
        <x:v>Nivel de confianza</x:v>
      </x:c>
      <x:c r="U4" s="403" t="str">
        <x:v>Uso analítico recomendado</x:v>
      </x:c>
      <x:c r="V4" s="403" t="str">
        <x:v>Corroboración requerida</x:v>
      </x:c>
      <x:c r="W4" s="403" t="str">
        <x:v>Corroborar con</x:v>
      </x:c>
      <x:c r="X4" s="403" t="str">
        <x:v>Estado</x:v>
      </x:c>
      <x:c r="Y4" s="403" t="str">
        <x:v>Observaciones</x:v>
      </x:c>
      <x:c r="Z4" s="403" t="str">
        <x:v>Referencia institucional</x:v>
      </x:c>
      <x:c r="AA4" s="403" t="str">
        <x:v>Fecha de revisión</x:v>
      </x:c>
    </x:row>
    <x:row r="5">
      <x:c r="A5" s="309" t="n">
        <x:v>64</x:v>
      </x:c>
      <x:c r="B5" s="312" t="str">
        <x:v>The Intercept</x:v>
      </x:c>
      <x:c r="C5" s="313" t="str">
        <x:v>https://theintercept.com/</x:v>
      </x:c>
      <x:c r="D5" s="308" t="str">
        <x:v>Estados Unidos; alcance global</x:v>
      </x:c>
      <x:c r="E5" s="308" t="str">
        <x:v>Global</x:v>
      </x:c>
      <x:c r="F5" s="308" t="str">
        <x:v>Inglés</x:v>
      </x:c>
      <x:c r="G5" s="308" t="str">
        <x:v>Medio de investigación</x:v>
      </x:c>
      <x:c r="H5" s="308" t="str">
        <x:v>Investigación, filtraciones y opinión</x:v>
      </x:c>
      <x:c r="I5" s="308" t="str">
        <x:v>Independiente / sin fines de lucro</x:v>
      </x:c>
      <x:c r="J5" s="308" t="str">
        <x:v>Independiente</x:v>
      </x:c>
      <x:c r="K5" s="308" t="str">
        <x:v>Izquierda</x:v>
      </x:c>
      <x:c r="L5" s="404" t="str">
        <x:v>Antivigilancia / antiintervencionista</x:v>
      </x:c>
      <x:c r="M5" s="309" t="n">
        <x:v>4</x:v>
      </x:c>
      <x:c r="N5" s="309" t="n">
        <x:v>4</x:v>
      </x:c>
      <x:c r="O5" s="309" t="n">
        <x:v>3</x:v>
      </x:c>
      <x:c r="P5" s="309" t="n">
        <x:v>4</x:v>
      </x:c>
      <x:c r="Q5" s="309" t="n">
        <x:v>3</x:v>
      </x:c>
      <x:c r="R5" s="309" t="n">
        <x:v>3</x:v>
      </x:c>
      <x:c r="S5" s="311" t="n">
        <x:v>3.5</x:v>
      </x:c>
      <x:c r="T5" s="309" t="str">
        <x:v>Media-alta</x:v>
      </x:c>
      <x:c r="U5" s="308" t="str">
        <x:v>Investigaciones y documentos filtrados</x:v>
      </x:c>
      <x:c r="V5" s="308" t="str">
        <x:v>Alta</x:v>
      </x:c>
      <x:c r="W5" s="308" t="str">
        <x:v>Documentos originales, respuestas de implicados y agencias</x:v>
      </x:c>
      <x:c r="X5" s="308" t="str">
        <x:v>Uso condicionado</x:v>
      </x:c>
      <x:c r="Y5" s="308" t="str">
        <x:v>Sólido en investigación; fuerte marco editorial.</x:v>
      </x:c>
      <x:c r="Z5" s="308" t="str">
        <x:v>https://theintercept.com/</x:v>
      </x:c>
      <x:c r="AA5" s="310" t="n">
        <x:v>46219</x:v>
      </x:c>
    </x:row>
    <x:row r="6">
      <x:c r="A6" s="309" t="n">
        <x:v>4</x:v>
      </x:c>
      <x:c r="B6" s="312" t="str">
        <x:v>La Nación (Argentina)</x:v>
      </x:c>
      <x:c r="C6" s="313" t="str">
        <x:v>https://www.lanacion.com.ar/</x:v>
      </x:c>
      <x:c r="D6" s="308" t="str">
        <x:v>Argentina</x:v>
      </x:c>
      <x:c r="E6" s="308" t="str">
        <x:v>América Latina</x:v>
      </x:c>
      <x:c r="F6" s="308" t="str">
        <x:v>Español</x:v>
      </x:c>
      <x:c r="G6" s="308" t="str">
        <x:v>Medio generalista</x:v>
      </x:c>
      <x:c r="H6" s="308" t="str">
        <x:v>Noticias, análisis y opinión</x:v>
      </x:c>
      <x:c r="I6" s="308" t="str">
        <x:v>Privado comercial</x:v>
      </x:c>
      <x:c r="J6" s="308" t="str">
        <x:v>Privado</x:v>
      </x:c>
      <x:c r="K6" s="308" t="str">
        <x:v>Centro-derecha</x:v>
      </x:c>
      <x:c r="L6" s="404" t="str">
        <x:v>Argentina / liberal-conservadora</x:v>
      </x:c>
      <x:c r="M6" s="309" t="n">
        <x:v>4</x:v>
      </x:c>
      <x:c r="N6" s="309" t="n">
        <x:v>4</x:v>
      </x:c>
      <x:c r="O6" s="309" t="n">
        <x:v>4</x:v>
      </x:c>
      <x:c r="P6" s="309" t="n">
        <x:v>4</x:v>
      </x:c>
      <x:c r="Q6" s="309" t="n">
        <x:v>4</x:v>
      </x:c>
      <x:c r="R6" s="309" t="n">
        <x:v>4</x:v>
      </x:c>
      <x:c r="S6" s="311" t="n">
        <x:v>4</x:v>
      </x:c>
      <x:c r="T6" s="309" t="str">
        <x:v>Media-alta</x:v>
      </x:c>
      <x:c r="U6" s="308" t="str">
        <x:v>Argentina y Cono Sur</x:v>
      </x:c>
      <x:c r="V6" s="308" t="str">
        <x:v>Moderada</x:v>
      </x:c>
      <x:c r="W6" s="308" t="str">
        <x:v>Reuters, AP y medios regionales</x:v>
      </x:c>
      <x:c r="X6" s="308" t="str">
        <x:v>Activo</x:v>
      </x:c>
      <x:c r="Y6" s="308"/>
      <x:c r="Z6" s="308" t="str">
        <x:v>https://www.lanacion.com.ar/</x:v>
      </x:c>
      <x:c r="AA6" s="310" t="n">
        <x:v>46219</x:v>
      </x:c>
    </x:row>
    <x:row r="7">
      <x:c r="A7" s="309" t="n">
        <x:v>2</x:v>
      </x:c>
      <x:c r="B7" s="312" t="str">
        <x:v>BBC News</x:v>
      </x:c>
      <x:c r="C7" s="313" t="str">
        <x:v>https://www.bbc.com/news</x:v>
      </x:c>
      <x:c r="D7" s="308" t="str">
        <x:v>Reino Unido; alcance global</x:v>
      </x:c>
      <x:c r="E7" s="308" t="str">
        <x:v>Global/Occidente</x:v>
      </x:c>
      <x:c r="F7" s="308" t="str">
        <x:v>Inglés y servicios internacionales</x:v>
      </x:c>
      <x:c r="G7" s="308" t="str">
        <x:v>Radiodifusor público</x:v>
      </x:c>
      <x:c r="H7" s="308" t="str">
        <x:v>Noticias generales y contexto</x:v>
      </x:c>
      <x:c r="I7" s="308" t="str">
        <x:v>Financiación pública bajo carta y gobernanza propias</x:v>
      </x:c>
      <x:c r="J7" s="308" t="str">
        <x:v>Público</x:v>
      </x:c>
      <x:c r="K7" s="308" t="str">
        <x:v>Centro</x:v>
      </x:c>
      <x:c r="L7" s="404" t="str">
        <x:v>Británica / internacionalista</x:v>
      </x:c>
      <x:c r="M7" s="309" t="n">
        <x:v>5</x:v>
      </x:c>
      <x:c r="N7" s="309" t="n">
        <x:v>4</x:v>
      </x:c>
      <x:c r="O7" s="309" t="n">
        <x:v>5</x:v>
      </x:c>
      <x:c r="P7" s="309" t="n">
        <x:v>5</x:v>
      </x:c>
      <x:c r="Q7" s="309" t="n">
        <x:v>5</x:v>
      </x:c>
      <x:c r="R7" s="309" t="n">
        <x:v>5</x:v>
      </x:c>
      <x:c r="S7" s="311" t="n">
        <x:v>4.8</x:v>
      </x:c>
      <x:c r="T7" s="309" t="str">
        <x:v>Alta</x:v>
      </x:c>
      <x:c r="U7" s="308" t="str">
        <x:v>Confirmación factual y contexto internacional</x:v>
      </x:c>
      <x:c r="V7" s="308" t="str">
        <x:v>Baja a moderada</x:v>
      </x:c>
      <x:c r="W7" s="308" t="str">
        <x:v>Reuters, AP y fuentes locales</x:v>
      </x:c>
      <x:c r="X7" s="308" t="str">
        <x:v>Activo</x:v>
      </x:c>
      <x:c r="Y7" s="308" t="str">
        <x:v>Separar cobertura informativa de análisis y opinión.</x:v>
      </x:c>
      <x:c r="Z7" s="308" t="str">
        <x:v>https://www.bbc.com/aboutthebbc/governance/charter</x:v>
      </x:c>
      <x:c r="AA7" s="310" t="n">
        <x:v>46219</x:v>
      </x:c>
    </x:row>
    <x:row r="8">
      <x:c r="A8" s="309" t="n">
        <x:v>32</x:v>
      </x:c>
      <x:c r="B8" s="312" t="str">
        <x:v>Chatham House</x:v>
      </x:c>
      <x:c r="C8" s="313" t="str">
        <x:v>https://www.chathamhouse.org/</x:v>
      </x:c>
      <x:c r="D8" s="308" t="str">
        <x:v>Reino Unido; alcance global</x:v>
      </x:c>
      <x:c r="E8" s="308" t="str">
        <x:v>Global</x:v>
      </x:c>
      <x:c r="F8" s="308" t="str">
        <x:v>Inglés</x:v>
      </x:c>
      <x:c r="G8" s="308" t="str">
        <x:v>Think tank</x:v>
      </x:c>
      <x:c r="H8" s="308" t="str">
        <x:v>Análisis de políticas</x:v>
      </x:c>
      <x:c r="I8" s="308" t="str">
        <x:v>Organización sin fines de lucro</x:v>
      </x:c>
      <x:c r="J8" s="308" t="str">
        <x:v>ONG/think tank</x:v>
      </x:c>
      <x:c r="K8" s="308" t="str">
        <x:v>Centrista institucional</x:v>
      </x:c>
      <x:c r="L8" s="404" t="str">
        <x:v>Británica / multilateral</x:v>
      </x:c>
      <x:c r="M8" s="309" t="n">
        <x:v>4</x:v>
      </x:c>
      <x:c r="N8" s="309" t="n">
        <x:v>4</x:v>
      </x:c>
      <x:c r="O8" s="309" t="n">
        <x:v>5</x:v>
      </x:c>
      <x:c r="P8" s="309" t="n">
        <x:v>5</x:v>
      </x:c>
      <x:c r="Q8" s="309" t="n">
        <x:v>4</x:v>
      </x:c>
      <x:c r="R8" s="309" t="n">
        <x:v>5</x:v>
      </x:c>
      <x:c r="S8" s="311" t="n">
        <x:v>4.5</x:v>
      </x:c>
      <x:c r="T8" s="309" t="str">
        <x:v>Alta</x:v>
      </x:c>
      <x:c r="U8" s="308" t="str">
        <x:v>Contexto estratégico y políticas públicas</x:v>
      </x:c>
      <x:c r="V8" s="308" t="str">
        <x:v>Moderada</x:v>
      </x:c>
      <x:c r="W8" s="308" t="str">
        <x:v>Datos primarios, trabajos académicos y otras escuelas</x:v>
      </x:c>
      <x:c r="X8" s="308" t="str">
        <x:v>Activo</x:v>
      </x:c>
      <x:c r="Y8" s="308"/>
      <x:c r="Z8" s="308" t="str">
        <x:v>https://www.chathamhouse.org/</x:v>
      </x:c>
      <x:c r="AA8" s="310" t="n">
        <x:v>46219</x:v>
      </x:c>
    </x:row>
    <x:row r="9">
      <x:c r="A9" s="309" t="n">
        <x:v>40</x:v>
      </x:c>
      <x:c r="B9" s="312" t="str">
        <x:v>RUSI</x:v>
      </x:c>
      <x:c r="C9" s="313" t="str">
        <x:v>https://www.rusi.org/</x:v>
      </x:c>
      <x:c r="D9" s="308" t="str">
        <x:v>Reino Unido; alcance global</x:v>
      </x:c>
      <x:c r="E9" s="308" t="str">
        <x:v>Global</x:v>
      </x:c>
      <x:c r="F9" s="308" t="str">
        <x:v>Inglés</x:v>
      </x:c>
      <x:c r="G9" s="308" t="str">
        <x:v>Think tank</x:v>
      </x:c>
      <x:c r="H9" s="308" t="str">
        <x:v>Defensa, seguridad y tecnología</x:v>
      </x:c>
      <x:c r="I9" s="308" t="str">
        <x:v>Organización benéfica independiente</x:v>
      </x:c>
      <x:c r="J9" s="308" t="str">
        <x:v>ONG/think tank</x:v>
      </x:c>
      <x:c r="K9" s="308" t="str">
        <x:v>Centrista / seguridad nacional</x:v>
      </x:c>
      <x:c r="L9" s="404" t="str">
        <x:v>Británica / transatlántica</x:v>
      </x:c>
      <x:c r="M9" s="309" t="n">
        <x:v>5</x:v>
      </x:c>
      <x:c r="N9" s="309" t="n">
        <x:v>4</x:v>
      </x:c>
      <x:c r="O9" s="309" t="n">
        <x:v>5</x:v>
      </x:c>
      <x:c r="P9" s="309" t="n">
        <x:v>5</x:v>
      </x:c>
      <x:c r="Q9" s="309" t="n">
        <x:v>4</x:v>
      </x:c>
      <x:c r="R9" s="309" t="n">
        <x:v>5</x:v>
      </x:c>
      <x:c r="S9" s="311" t="n">
        <x:v>4.7</x:v>
      </x:c>
      <x:c r="T9" s="309" t="str">
        <x:v>Alta</x:v>
      </x:c>
      <x:c r="U9" s="308" t="str">
        <x:v>Defensa, inteligencia y guerra tecnológica</x:v>
      </x:c>
      <x:c r="V9" s="308" t="str">
        <x:v>Moderada</x:v>
      </x:c>
      <x:c r="W9" s="308" t="str">
        <x:v>IISS, SIPRI y fuentes primarias</x:v>
      </x:c>
      <x:c r="X9" s="308" t="str">
        <x:v>Activo</x:v>
      </x:c>
      <x:c r="Y9" s="308"/>
      <x:c r="Z9" s="308" t="str">
        <x:v>https://www.rusi.org/</x:v>
      </x:c>
      <x:c r="AA9" s="310" t="n">
        <x:v>46219</x:v>
      </x:c>
    </x:row>
    <x:row r="10">
      <x:c r="A10" s="309" t="n">
        <x:v>18</x:v>
      </x:c>
      <x:c r="B10" s="312" t="str">
        <x:v>Al Jazeera English</x:v>
      </x:c>
      <x:c r="C10" s="313" t="str">
        <x:v>https://www.aljazeera.com/</x:v>
      </x:c>
      <x:c r="D10" s="308" t="str">
        <x:v>Qatar; alcance global</x:v>
      </x:c>
      <x:c r="E10" s="308" t="str">
        <x:v>Medio Oriente/Global</x:v>
      </x:c>
      <x:c r="F10" s="308" t="str">
        <x:v>Inglés</x:v>
      </x:c>
      <x:c r="G10" s="308" t="str">
        <x:v>Red internacional</x:v>
      </x:c>
      <x:c r="H10" s="308" t="str">
        <x:v>Noticias, documentales y análisis</x:v>
      </x:c>
      <x:c r="I10" s="308" t="str">
        <x:v>Financiación pública catarí</x:v>
      </x:c>
      <x:c r="J10" s="308" t="str">
        <x:v>Estatal/afiliado al Estado</x:v>
      </x:c>
      <x:c r="K10" s="308" t="str">
        <x:v>Progresista en temas globales</x:v>
      </x:c>
      <x:c r="L10" s="404" t="str">
        <x:v>Catarí / Global South</x:v>
      </x:c>
      <x:c r="M10" s="309" t="n">
        <x:v>4</x:v>
      </x:c>
      <x:c r="N10" s="309" t="n">
        <x:v>2</x:v>
      </x:c>
      <x:c r="O10" s="309" t="n">
        <x:v>4</x:v>
      </x:c>
      <x:c r="P10" s="309" t="n">
        <x:v>4</x:v>
      </x:c>
      <x:c r="Q10" s="309" t="n">
        <x:v>4</x:v>
      </x:c>
      <x:c r="R10" s="309" t="n">
        <x:v>4</x:v>
      </x:c>
      <x:c r="S10" s="311" t="n">
        <x:v>3.7</x:v>
      </x:c>
      <x:c r="T10" s="309" t="str">
        <x:v>Media-alta</x:v>
      </x:c>
      <x:c r="U10" s="308" t="str">
        <x:v>Perspectiva regional y Global South</x:v>
      </x:c>
      <x:c r="V10" s="308" t="str">
        <x:v>Alta en asuntos sensibles para Qatar</x:v>
      </x:c>
      <x:c r="W10" s="308" t="str">
        <x:v>Reuters/AP y medios regionales con líneas distintas</x:v>
      </x:c>
      <x:c r="X10" s="308" t="str">
        <x:v>Uso condicionado</x:v>
      </x:c>
      <x:c r="Y10" s="308" t="str">
        <x:v>No equiparar automáticamente la edición inglesa con la árabe.</x:v>
      </x:c>
      <x:c r="Z10" s="308" t="str">
        <x:v>https://www.aljazeera.com/about-us</x:v>
      </x:c>
      <x:c r="AA10" s="310" t="n">
        <x:v>46219</x:v>
      </x:c>
    </x:row>
    <x:row r="11">
      <x:c r="A11" s="309" t="n">
        <x:v>19</x:v>
      </x:c>
      <x:c r="B11" s="312" t="str">
        <x:v>Al Jazeera Arabic</x:v>
      </x:c>
      <x:c r="C11" s="313" t="str">
        <x:v>https://www.aljazeera.net/</x:v>
      </x:c>
      <x:c r="D11" s="308" t="str">
        <x:v>Qatar; alcance regional</x:v>
      </x:c>
      <x:c r="E11" s="308" t="str">
        <x:v>Medio Oriente</x:v>
      </x:c>
      <x:c r="F11" s="308" t="str">
        <x:v>Árabe</x:v>
      </x:c>
      <x:c r="G11" s="308" t="str">
        <x:v>Red regional</x:v>
      </x:c>
      <x:c r="H11" s="308" t="str">
        <x:v>Noticias, debates y análisis</x:v>
      </x:c>
      <x:c r="I11" s="308" t="str">
        <x:v>Financiación pública catarí</x:v>
      </x:c>
      <x:c r="J11" s="308" t="str">
        <x:v>Estatal/afiliado al Estado</x:v>
      </x:c>
      <x:c r="K11" s="308" t="str">
        <x:v>Variable por programa</x:v>
      </x:c>
      <x:c r="L11" s="404" t="str">
        <x:v>Catarí / panárabe</x:v>
      </x:c>
      <x:c r="M11" s="309" t="n">
        <x:v>3</x:v>
      </x:c>
      <x:c r="N11" s="309" t="n">
        <x:v>2</x:v>
      </x:c>
      <x:c r="O11" s="309" t="n">
        <x:v>4</x:v>
      </x:c>
      <x:c r="P11" s="309" t="n">
        <x:v>3</x:v>
      </x:c>
      <x:c r="Q11" s="309" t="n">
        <x:v>3</x:v>
      </x:c>
      <x:c r="R11" s="309" t="n">
        <x:v>3</x:v>
      </x:c>
      <x:c r="S11" s="311" t="n">
        <x:v>3</x:v>
      </x:c>
      <x:c r="T11" s="309" t="str">
        <x:v>Media</x:v>
      </x:c>
      <x:c r="U11" s="308" t="str">
        <x:v>Seguimiento de narrativas árabes y agenda regional</x:v>
      </x:c>
      <x:c r="V11" s="308" t="str">
        <x:v>Alta</x:v>
      </x:c>
      <x:c r="W11" s="308" t="str">
        <x:v>Reuters/AP, medios locales y documentación primaria</x:v>
      </x:c>
      <x:c r="X11" s="308" t="str">
        <x:v>Nuevo recomendado</x:v>
      </x:c>
      <x:c r="Y11" s="308" t="str">
        <x:v>Evaluar por programa; mayor carga política que la edición inglesa.</x:v>
      </x:c>
      <x:c r="Z11" s="308" t="str">
        <x:v>https://www.aljazeera.com/about-us</x:v>
      </x:c>
      <x:c r="AA11" s="310" t="n">
        <x:v>46219</x:v>
      </x:c>
    </x:row>
    <x:row r="12">
      <x:c r="A12" s="309" t="n">
        <x:v>52</x:v>
      </x:c>
      <x:c r="B12" s="312" t="str">
        <x:v>Caixin Global</x:v>
      </x:c>
      <x:c r="C12" s="313" t="str">
        <x:v>https://www.caixinglobal.com/</x:v>
      </x:c>
      <x:c r="D12" s="308" t="str">
        <x:v>China</x:v>
      </x:c>
      <x:c r="E12" s="308" t="str">
        <x:v>Asia</x:v>
      </x:c>
      <x:c r="F12" s="308" t="str">
        <x:v>Inglés/Chino</x:v>
      </x:c>
      <x:c r="G12" s="308" t="str">
        <x:v>Medio económico</x:v>
      </x:c>
      <x:c r="H12" s="308" t="str">
        <x:v>Economía, finanzas e investigación</x:v>
      </x:c>
      <x:c r="I12" s="308" t="str">
        <x:v>Privado/comercial bajo entorno regulado</x:v>
      </x:c>
      <x:c r="J12" s="308" t="str">
        <x:v>Privado/regulado</x:v>
      </x:c>
      <x:c r="K12" s="308" t="str">
        <x:v>Reformista / promercado</x:v>
      </x:c>
      <x:c r="L12" s="404" t="str">
        <x:v>China económica</x:v>
      </x:c>
      <x:c r="M12" s="309" t="n">
        <x:v>4</x:v>
      </x:c>
      <x:c r="N12" s="309" t="n">
        <x:v>3</x:v>
      </x:c>
      <x:c r="O12" s="309" t="n">
        <x:v>3</x:v>
      </x:c>
      <x:c r="P12" s="309" t="n">
        <x:v>4</x:v>
      </x:c>
      <x:c r="Q12" s="309" t="n">
        <x:v>4</x:v>
      </x:c>
      <x:c r="R12" s="309" t="n">
        <x:v>4</x:v>
      </x:c>
      <x:c r="S12" s="311" t="n">
        <x:v>3.7</x:v>
      </x:c>
      <x:c r="T12" s="309" t="str">
        <x:v>Media-alta</x:v>
      </x:c>
      <x:c r="U12" s="308" t="str">
        <x:v>Economía china y empresas</x:v>
      </x:c>
      <x:c r="V12" s="308" t="str">
        <x:v>Alta en temas políticos sensibles</x:v>
      </x:c>
      <x:c r="W12" s="308" t="str">
        <x:v>Reuters, Bloomberg, Nikkei y datos oficiales</x:v>
      </x:c>
      <x:c r="X12" s="308" t="str">
        <x:v>Nuevo recomendado</x:v>
      </x:c>
      <x:c r="Y12" s="308"/>
      <x:c r="Z12" s="308" t="str">
        <x:v>https://www.caixinglobal.com/</x:v>
      </x:c>
      <x:c r="AA12" s="310" t="n">
        <x:v>46219</x:v>
      </x:c>
    </x:row>
    <x:row r="13">
      <x:c r="A13" s="309" t="n">
        <x:v>44</x:v>
      </x:c>
      <x:c r="B13" s="312" t="str">
        <x:v>CGTN</x:v>
      </x:c>
      <x:c r="C13" s="313" t="str">
        <x:v>https://www.cgtn.com/</x:v>
      </x:c>
      <x:c r="D13" s="308" t="str">
        <x:v>China; alcance internacional</x:v>
      </x:c>
      <x:c r="E13" s="308" t="str">
        <x:v>Asia/Global</x:v>
      </x:c>
      <x:c r="F13" s="308" t="str">
        <x:v>Inglés y otros</x:v>
      </x:c>
      <x:c r="G13" s="308" t="str">
        <x:v>Medio estatal internacional</x:v>
      </x:c>
      <x:c r="H13" s="308" t="str">
        <x:v>Noticias y narrativa oficial</x:v>
      </x:c>
      <x:c r="I13" s="308" t="str">
        <x:v>Financiación estatal china</x:v>
      </x:c>
      <x:c r="J13" s="308" t="str">
        <x:v>Estatal</x:v>
      </x:c>
      <x:c r="K13" s="308" t="str">
        <x:v>Línea oficial</x:v>
      </x:c>
      <x:c r="L13" s="404" t="str">
        <x:v>China estatal</x:v>
      </x:c>
      <x:c r="M13" s="309" t="n">
        <x:v>3</x:v>
      </x:c>
      <x:c r="N13" s="309" t="n">
        <x:v>1</x:v>
      </x:c>
      <x:c r="O13" s="309" t="n">
        <x:v>4</x:v>
      </x:c>
      <x:c r="P13" s="309" t="n">
        <x:v>3</x:v>
      </x:c>
      <x:c r="Q13" s="309" t="n">
        <x:v>2</x:v>
      </x:c>
      <x:c r="R13" s="309" t="n">
        <x:v>2</x:v>
      </x:c>
      <x:c r="S13" s="311" t="n">
        <x:v>2.5</x:v>
      </x:c>
      <x:c r="T13" s="309" t="str">
        <x:v>Baja</x:v>
      </x:c>
      <x:c r="U13" s="308" t="str">
        <x:v>Conocer la posición y narrativa oficial china</x:v>
      </x:c>
      <x:c r="V13" s="308" t="str">
        <x:v>Obligatoria</x:v>
      </x:c>
      <x:c r="W13" s="308" t="str">
        <x:v>Reuters/AP, medios asiáticos independientes y documentos</x:v>
      </x:c>
      <x:c r="X13" s="308" t="str">
        <x:v>Uso condicionado</x:v>
      </x:c>
      <x:c r="Y13" s="308" t="str">
        <x:v>No clasificar simplemente como inútil: es fuente primaria de narrativa estatal.</x:v>
      </x:c>
      <x:c r="Z13" s="308" t="str">
        <x:v>https://www.cgtn.com/</x:v>
      </x:c>
      <x:c r="AA13" s="310" t="n">
        <x:v>46219</x:v>
      </x:c>
    </x:row>
    <x:row r="14">
      <x:c r="A14" s="309" t="n">
        <x:v>46</x:v>
      </x:c>
      <x:c r="B14" s="312" t="str">
        <x:v>Xinhua News Agency</x:v>
      </x:c>
      <x:c r="C14" s="313" t="str">
        <x:v>https://english.news.cn/</x:v>
      </x:c>
      <x:c r="D14" s="308" t="str">
        <x:v>China; red global</x:v>
      </x:c>
      <x:c r="E14" s="308" t="str">
        <x:v>Asia/Global</x:v>
      </x:c>
      <x:c r="F14" s="308" t="str">
        <x:v>Chino/Inglés</x:v>
      </x:c>
      <x:c r="G14" s="308" t="str">
        <x:v>Agencia estatal</x:v>
      </x:c>
      <x:c r="H14" s="308" t="str">
        <x:v>Noticias y comunicación oficial</x:v>
      </x:c>
      <x:c r="I14" s="308" t="str">
        <x:v>Financiación estatal china</x:v>
      </x:c>
      <x:c r="J14" s="308" t="str">
        <x:v>Estatal</x:v>
      </x:c>
      <x:c r="K14" s="308" t="str">
        <x:v>Línea oficial</x:v>
      </x:c>
      <x:c r="L14" s="404" t="str">
        <x:v>China estatal</x:v>
      </x:c>
      <x:c r="M14" s="309" t="n">
        <x:v>3</x:v>
      </x:c>
      <x:c r="N14" s="309" t="n">
        <x:v>1</x:v>
      </x:c>
      <x:c r="O14" s="309" t="n">
        <x:v>4</x:v>
      </x:c>
      <x:c r="P14" s="309" t="n">
        <x:v>3</x:v>
      </x:c>
      <x:c r="Q14" s="309" t="n">
        <x:v>2</x:v>
      </x:c>
      <x:c r="R14" s="309" t="n">
        <x:v>2</x:v>
      </x:c>
      <x:c r="S14" s="311" t="n">
        <x:v>2.5</x:v>
      </x:c>
      <x:c r="T14" s="309" t="str">
        <x:v>Baja</x:v>
      </x:c>
      <x:c r="U14" s="308" t="str">
        <x:v>Posiciones oficiales y datos publicados por China</x:v>
      </x:c>
      <x:c r="V14" s="308" t="str">
        <x:v>Obligatoria</x:v>
      </x:c>
      <x:c r="W14" s="308" t="str">
        <x:v>Reuters/AP, Caixin, Nikkei y documentos</x:v>
      </x:c>
      <x:c r="X14" s="308" t="str">
        <x:v>Uso condicionado</x:v>
      </x:c>
      <x:c r="Y14" s="308"/>
      <x:c r="Z14" s="308" t="str">
        <x:v>https://english.news.cn/</x:v>
      </x:c>
      <x:c r="AA14" s="310" t="n">
        <x:v>46219</x:v>
      </x:c>
    </x:row>
    <x:row r="15">
      <x:c r="A15" s="309" t="n">
        <x:v>88</x:v>
      </x:c>
      <x:c r="B15" s="312" t="str">
        <x:v>ACTUALITE.CD</x:v>
      </x:c>
      <x:c r="C15" s="313" t="str">
        <x:v>https://actualite.cd/</x:v>
      </x:c>
      <x:c r="D15" s="308" t="str">
        <x:v>República Democrática del Congo; redacción en Kinshasa y corresponsales nacionales</x:v>
      </x:c>
      <x:c r="E15" s="308" t="str">
        <x:v>África Central</x:v>
      </x:c>
      <x:c r="F15" s="308" t="str">
        <x:v>Francés</x:v>
      </x:c>
      <x:c r="G15" s="308" t="str">
        <x:v>Medio digital generalista</x:v>
      </x:c>
      <x:c r="H15" s="308" t="str">
        <x:v>Política, seguridad, economía y sociedad</x:v>
      </x:c>
      <x:c r="I15" s="308" t="str">
        <x:v>Groupe Next Corp.</x:v>
      </x:c>
      <x:c r="J15" s="308" t="str">
        <x:v>Privado</x:v>
      </x:c>
      <x:c r="K15" s="308" t="str">
        <x:v>Centro / institucional</x:v>
      </x:c>
      <x:c r="L15" s="404" t="str">
        <x:v>Congoleña</x:v>
      </x:c>
      <x:c r="M15" s="309" t="n">
        <x:v>4</x:v>
      </x:c>
      <x:c r="N15" s="309" t="n">
        <x:v>3</x:v>
      </x:c>
      <x:c r="O15" s="309" t="n">
        <x:v>3</x:v>
      </x:c>
      <x:c r="P15" s="309" t="n">
        <x:v>4</x:v>
      </x:c>
      <x:c r="Q15" s="309" t="n">
        <x:v>3</x:v>
      </x:c>
      <x:c r="R15" s="309" t="n">
        <x:v>4</x:v>
      </x:c>
      <x:c r="S15" s="311" t="n">
        <x:v>3.5</x:v>
      </x:c>
      <x:c r="T15" s="309" t="str">
        <x:v>Media-alta</x:v>
      </x:c>
      <x:c r="U15" s="308" t="str">
        <x:v>RDC, conflicto oriental, política y economía</x:v>
      </x:c>
      <x:c r="V15" s="308" t="str">
        <x:v>Alta en conflictos y primicias</x:v>
      </x:c>
      <x:c r="W15" s="308" t="str">
        <x:v>Radio Okapi, Reuters/AFP, MONUSCO, ACLED y medios locales</x:v>
      </x:c>
      <x:c r="X15" s="308" t="str">
        <x:v>Nuevo recomendado</x:v>
      </x:c>
      <x:c r="Y15" s="308" t="str">
        <x:v>Fuente local importante para la RDC; verificar información operativa sobre grupos armados y zonas de difícil acceso.</x:v>
      </x:c>
      <x:c r="Z15" s="308" t="str">
        <x:v>https://actualite.cd/</x:v>
      </x:c>
      <x:c r="AA15" s="310" t="n">
        <x:v>46219</x:v>
      </x:c>
    </x:row>
    <x:row r="16">
      <x:c r="A16" s="309" t="n">
        <x:v>89</x:v>
      </x:c>
      <x:c r="B16" s="312" t="str">
        <x:v>Radio Okapi</x:v>
      </x:c>
      <x:c r="C16" s="313" t="str">
        <x:v>https://www.radiookapi.net/</x:v>
      </x:c>
      <x:c r="D16" s="308" t="str">
        <x:v>República Democrática del Congo; gestionada por MONUSCO</x:v>
      </x:c>
      <x:c r="E16" s="308" t="str">
        <x:v>África Central</x:v>
      </x:c>
      <x:c r="F16" s="308" t="str">
        <x:v>Francés/Lingala/Swahili/Kikongo</x:v>
      </x:c>
      <x:c r="G16" s="308" t="str">
        <x:v>Radiodifusor de Naciones Unidas</x:v>
      </x:c>
      <x:c r="H16" s="308" t="str">
        <x:v>Noticias, servicio público y diálogo nacional</x:v>
      </x:c>
      <x:c r="I16" s="308" t="str">
        <x:v>Naciones Unidas / MONUSCO</x:v>
      </x:c>
      <x:c r="J16" s="308" t="str">
        <x:v>Internacional / oficial</x:v>
      </x:c>
      <x:c r="K16" s="308" t="str">
        <x:v>Servicio público / multilateral</x:v>
      </x:c>
      <x:c r="L16" s="404" t="str">
        <x:v>Congoleña / ONU</x:v>
      </x:c>
      <x:c r="M16" s="309" t="n">
        <x:v>4</x:v>
      </x:c>
      <x:c r="N16" s="309" t="n">
        <x:v>3</x:v>
      </x:c>
      <x:c r="O16" s="309" t="n">
        <x:v>5</x:v>
      </x:c>
      <x:c r="P16" s="309" t="n">
        <x:v>4</x:v>
      </x:c>
      <x:c r="Q16" s="309" t="n">
        <x:v>4</x:v>
      </x:c>
      <x:c r="R16" s="309" t="n">
        <x:v>5</x:v>
      </x:c>
      <x:c r="S16" s="311" t="n">
        <x:v>4.2</x:v>
      </x:c>
      <x:c r="T16" s="309" t="str">
        <x:v>Media-alta</x:v>
      </x:c>
      <x:c r="U16" s="308" t="str">
        <x:v>RDC, información territorial y comunicaciones de servicio público</x:v>
      </x:c>
      <x:c r="V16" s="308" t="str">
        <x:v>Moderada</x:v>
      </x:c>
      <x:c r="W16" s="308" t="str">
        <x:v>Medios congoleños independientes, agencias y documentación local</x:v>
      </x:c>
      <x:c r="X16" s="308" t="str">
        <x:v>Nuevo recomendado</x:v>
      </x:c>
      <x:c r="Y16" s="308" t="str">
        <x:v>Amplia red territorial y multilingüe; su vinculación con MONUSCO debe declararse en asuntos relacionados con la misión.</x:v>
      </x:c>
      <x:c r="Z16" s="308" t="str">
        <x:v>https://www.radiookapi.net/page/propos</x:v>
      </x:c>
      <x:c r="AA16" s="310" t="n">
        <x:v>46219</x:v>
      </x:c>
    </x:row>
    <x:row r="17">
      <x:c r="A17" s="309" t="n">
        <x:v>79</x:v>
      </x:c>
      <x:c r="B17" s="312" t="str">
        <x:v>African Union (AU)</x:v>
      </x:c>
      <x:c r="C17" s="313" t="str">
        <x:v>https://au.int/</x:v>
      </x:c>
      <x:c r="D17" s="308" t="str">
        <x:v>Organización continental de 55 Estados miembros; Comisión con sede en Addis Ababa</x:v>
      </x:c>
      <x:c r="E17" s="308" t="str">
        <x:v>África - Pancontinental</x:v>
      </x:c>
      <x:c r="F17" s="308" t="str">
        <x:v>Multilingüe</x:v>
      </x:c>
      <x:c r="G17" s="308" t="str">
        <x:v>Organismo internacional</x:v>
      </x:c>
      <x:c r="H17" s="308" t="str">
        <x:v>Tratados, comunicados, decisiones, datos y posiciones oficiales</x:v>
      </x:c>
      <x:c r="I17" s="308" t="str">
        <x:v>Estados miembros</x:v>
      </x:c>
      <x:c r="J17" s="308" t="str">
        <x:v>Oficial / multilateral</x:v>
      </x:c>
      <x:c r="K17" s="308" t="str">
        <x:v>Institucional</x:v>
      </x:c>
      <x:c r="L17" s="404" t="str">
        <x:v>Continental / integración africana</x:v>
      </x:c>
      <x:c r="M17" s="309" t="n">
        <x:v>4</x:v>
      </x:c>
      <x:c r="N17" s="309" t="n">
        <x:v>2</x:v>
      </x:c>
      <x:c r="O17" s="309" t="n">
        <x:v>5</x:v>
      </x:c>
      <x:c r="P17" s="309" t="n">
        <x:v>4</x:v>
      </x:c>
      <x:c r="Q17" s="309" t="n">
        <x:v>4</x:v>
      </x:c>
      <x:c r="R17" s="309" t="n">
        <x:v>5</x:v>
      </x:c>
      <x:c r="S17" s="311" t="n">
        <x:v>4</x:v>
      </x:c>
      <x:c r="T17" s="309" t="str">
        <x:v>Media-alta</x:v>
      </x:c>
      <x:c r="U17" s="308" t="str">
        <x:v>Fuente primaria para decisiones, tratados y posiciones de la Unión Africana</x:v>
      </x:c>
      <x:c r="V17" s="308" t="str">
        <x:v>Moderada; obligatoria para controversias políticas</x:v>
      </x:c>
      <x:c r="W17" s="308" t="str">
        <x:v>Estados miembros, prensa independiente, ONU e instituciones regionales</x:v>
      </x:c>
      <x:c r="X17" s="308" t="str">
        <x:v>Nuevo recomendado</x:v>
      </x:c>
      <x:c r="Y17" s="308" t="str">
        <x:v>Fuente oficial continental: competente para documentos y posiciones propias, no para verificación independiente.</x:v>
      </x:c>
      <x:c r="Z17" s="308" t="str">
        <x:v>https://au.int/en/overview</x:v>
      </x:c>
      <x:c r="AA17" s="310" t="n">
        <x:v>46219</x:v>
      </x:c>
    </x:row>
    <x:row r="18">
      <x:c r="A18" s="309" t="n">
        <x:v>42</x:v>
      </x:c>
      <x:c r="B18" s="312" t="str">
        <x:v>Arms Control Association</x:v>
      </x:c>
      <x:c r="C18" s="313" t="str">
        <x:v>https://www.armscontrol.org/</x:v>
      </x:c>
      <x:c r="D18" s="308" t="str">
        <x:v>Estados Unidos; alcance global</x:v>
      </x:c>
      <x:c r="E18" s="308" t="str">
        <x:v>Global</x:v>
      </x:c>
      <x:c r="F18" s="308" t="str">
        <x:v>Inglés</x:v>
      </x:c>
      <x:c r="G18" s="308" t="str">
        <x:v>ONG especializada</x:v>
      </x:c>
      <x:c r="H18" s="308" t="str">
        <x:v>Análisis y advocacy sobre control de armas</x:v>
      </x:c>
      <x:c r="I18" s="308" t="str">
        <x:v>Organización sin fines de lucro</x:v>
      </x:c>
      <x:c r="J18" s="308" t="str">
        <x:v>ONG/advocacy</x:v>
      </x:c>
      <x:c r="K18" s="308" t="str">
        <x:v>No partidista; favorable al control de armas</x:v>
      </x:c>
      <x:c r="L18" s="404" t="str">
        <x:v>Control de armas / no proliferación</x:v>
      </x:c>
      <x:c r="M18" s="309" t="n">
        <x:v>4</x:v>
      </x:c>
      <x:c r="N18" s="309" t="n">
        <x:v>4</x:v>
      </x:c>
      <x:c r="O18" s="309" t="n">
        <x:v>5</x:v>
      </x:c>
      <x:c r="P18" s="309" t="n">
        <x:v>4</x:v>
      </x:c>
      <x:c r="Q18" s="309" t="n">
        <x:v>4</x:v>
      </x:c>
      <x:c r="R18" s="309" t="n">
        <x:v>5</x:v>
      </x:c>
      <x:c r="S18" s="311" t="n">
        <x:v>4.3</x:v>
      </x:c>
      <x:c r="T18" s="309" t="str">
        <x:v>Alta</x:v>
      </x:c>
      <x:c r="U18" s="308" t="str">
        <x:v>Cronologías, tratados y política de no proliferación</x:v>
      </x:c>
      <x:c r="V18" s="308" t="str">
        <x:v>Moderada</x:v>
      </x:c>
      <x:c r="W18" s="308" t="str">
        <x:v>OIEA, tratados y posiciones gubernamentales</x:v>
      </x:c>
      <x:c r="X18" s="308" t="str">
        <x:v>Activo</x:v>
      </x:c>
      <x:c r="Y18" s="308" t="str">
        <x:v>Reubicada: no es organismo oficial.</x:v>
      </x:c>
      <x:c r="Z18" s="308" t="str">
        <x:v>https://www.armscontrol.org/about</x:v>
      </x:c>
      <x:c r="AA18" s="310" t="n">
        <x:v>46219</x:v>
      </x:c>
    </x:row>
    <x:row r="19">
      <x:c r="A19" s="309" t="n">
        <x:v>34</x:v>
      </x:c>
      <x:c r="B19" s="312" t="str">
        <x:v>European Journal of International Law (EJIL)</x:v>
      </x:c>
      <x:c r="C19" s="313" t="str">
        <x:v>https://www.ejil.org/</x:v>
      </x:c>
      <x:c r="D19" s="308" t="str">
        <x:v>Europa; comunidad académica global</x:v>
      </x:c>
      <x:c r="E19" s="308" t="str">
        <x:v>Global</x:v>
      </x:c>
      <x:c r="F19" s="308" t="str">
        <x:v>Inglés</x:v>
      </x:c>
      <x:c r="G19" s="308" t="str">
        <x:v>Revista académica</x:v>
      </x:c>
      <x:c r="H19" s="308" t="str">
        <x:v>Investigación jurídica revisada por pares</x:v>
      </x:c>
      <x:c r="I19" s="308" t="str">
        <x:v>Académica</x:v>
      </x:c>
      <x:c r="J19" s="308" t="str">
        <x:v>Académico</x:v>
      </x:c>
      <x:c r="K19" s="308" t="str">
        <x:v>Plural</x:v>
      </x:c>
      <x:c r="L19" s="404" t="str">
        <x:v>Derecho internacional</x:v>
      </x:c>
      <x:c r="M19" s="309" t="n">
        <x:v>5</x:v>
      </x:c>
      <x:c r="N19" s="309" t="n">
        <x:v>5</x:v>
      </x:c>
      <x:c r="O19" s="309" t="n">
        <x:v>5</x:v>
      </x:c>
      <x:c r="P19" s="309" t="n">
        <x:v>5</x:v>
      </x:c>
      <x:c r="Q19" s="309" t="n">
        <x:v>4</x:v>
      </x:c>
      <x:c r="R19" s="309" t="n">
        <x:v>5</x:v>
      </x:c>
      <x:c r="S19" s="311" t="n">
        <x:v>4.8</x:v>
      </x:c>
      <x:c r="T19" s="309" t="str">
        <x:v>Alta</x:v>
      </x:c>
      <x:c r="U19" s="308" t="str">
        <x:v>Derecho internacional y jurisprudencia</x:v>
      </x:c>
      <x:c r="V19" s="308" t="str">
        <x:v>Baja a moderada</x:v>
      </x:c>
      <x:c r="W19" s="308" t="str">
        <x:v>Tratados, fallos y doctrina adicional</x:v>
      </x:c>
      <x:c r="X19" s="308" t="str">
        <x:v>Activo</x:v>
      </x:c>
      <x:c r="Y19" s="308"/>
      <x:c r="Z19" s="308" t="str">
        <x:v>https://www.ejil.org/</x:v>
      </x:c>
      <x:c r="AA19" s="310" t="n">
        <x:v>46219</x:v>
      </x:c>
    </x:row>
    <x:row r="20">
      <x:c r="A20" s="309" t="n">
        <x:v>61</x:v>
      </x:c>
      <x:c r="B20" s="312" t="str">
        <x:v>ICRC / CICR</x:v>
      </x:c>
      <x:c r="C20" s="313" t="str">
        <x:v>https://www.icrc.org/</x:v>
      </x:c>
      <x:c r="D20" s="308" t="str">
        <x:v>Organización internacional humanitaria; sede en Ginebra</x:v>
      </x:c>
      <x:c r="E20" s="308" t="str">
        <x:v>Global</x:v>
      </x:c>
      <x:c r="F20" s="308" t="str">
        <x:v>Multilingüe</x:v>
      </x:c>
      <x:c r="G20" s="308" t="str">
        <x:v>Organización humanitaria</x:v>
      </x:c>
      <x:c r="H20" s="308" t="str">
        <x:v>Derecho humanitario, acceso y situación humanitaria</x:v>
      </x:c>
      <x:c r="I20" s="308" t="str">
        <x:v>Financiación multilateral y donaciones</x:v>
      </x:c>
      <x:c r="J20" s="308" t="str">
        <x:v>Internacional/ONG</x:v>
      </x:c>
      <x:c r="K20" s="308" t="str">
        <x:v>Humanitaria / neutralidad operacional</x:v>
      </x:c>
      <x:c r="L20" s="404" t="str">
        <x:v>Derecho internacional humanitario</x:v>
      </x:c>
      <x:c r="M20" s="309" t="n">
        <x:v>5</x:v>
      </x:c>
      <x:c r="N20" s="309" t="n">
        <x:v>5</x:v>
      </x:c>
      <x:c r="O20" s="309" t="n">
        <x:v>5</x:v>
      </x:c>
      <x:c r="P20" s="309" t="n">
        <x:v>5</x:v>
      </x:c>
      <x:c r="Q20" s="309" t="n">
        <x:v>4</x:v>
      </x:c>
      <x:c r="R20" s="309" t="n">
        <x:v>5</x:v>
      </x:c>
      <x:c r="S20" s="311" t="n">
        <x:v>4.8</x:v>
      </x:c>
      <x:c r="T20" s="309" t="str">
        <x:v>Alta</x:v>
      </x:c>
      <x:c r="U20" s="308" t="str">
        <x:v>Derecho humanitario y situación de civiles</x:v>
      </x:c>
      <x:c r="V20" s="308" t="str">
        <x:v>Moderada</x:v>
      </x:c>
      <x:c r="W20" s="308" t="str">
        <x:v>ONU, ONG locales y fuentes de terreno</x:v>
      </x:c>
      <x:c r="X20" s="308" t="str">
        <x:v>Nuevo recomendado</x:v>
      </x:c>
      <x:c r="Y20" s="308"/>
      <x:c r="Z20" s="308" t="str">
        <x:v>https://www.icrc.org/</x:v>
      </x:c>
      <x:c r="AA20" s="310" t="n">
        <x:v>46219</x:v>
      </x:c>
    </x:row>
    <x:row r="21">
      <x:c r="A21" s="309" t="n">
        <x:v>66</x:v>
      </x:c>
      <x:c r="B21" s="312" t="str">
        <x:v>Iran Human Rights</x:v>
      </x:c>
      <x:c r="C21" s="313" t="str">
        <x:v>https://iranhr.net/en/</x:v>
      </x:c>
      <x:c r="D21" s="308" t="str">
        <x:v>Noruega; foco en Irán</x:v>
      </x:c>
      <x:c r="E21" s="308" t="str">
        <x:v>Irán</x:v>
      </x:c>
      <x:c r="F21" s="308" t="str">
        <x:v>Persa/Inglés</x:v>
      </x:c>
      <x:c r="G21" s="308" t="str">
        <x:v>ONG de derechos humanos</x:v>
      </x:c>
      <x:c r="H21" s="308" t="str">
        <x:v>Documentación y advocacy</x:v>
      </x:c>
      <x:c r="I21" s="308" t="str">
        <x:v>Donaciones / ONG</x:v>
      </x:c>
      <x:c r="J21" s="308" t="str">
        <x:v>ONG/advocacy</x:v>
      </x:c>
      <x:c r="K21" s="308" t="str">
        <x:v>Derechos humanos / crítica del régimen</x:v>
      </x:c>
      <x:c r="L21" s="404" t="str">
        <x:v>Diáspora iraní</x:v>
      </x:c>
      <x:c r="M21" s="309" t="n">
        <x:v>4</x:v>
      </x:c>
      <x:c r="N21" s="309" t="n">
        <x:v>4</x:v>
      </x:c>
      <x:c r="O21" s="309" t="n">
        <x:v>4</x:v>
      </x:c>
      <x:c r="P21" s="309" t="n">
        <x:v>4</x:v>
      </x:c>
      <x:c r="Q21" s="309" t="n">
        <x:v>3</x:v>
      </x:c>
      <x:c r="R21" s="309" t="n">
        <x:v>4</x:v>
      </x:c>
      <x:c r="S21" s="311" t="n">
        <x:v>3.8</x:v>
      </x:c>
      <x:c r="T21" s="309" t="str">
        <x:v>Media-alta</x:v>
      </x:c>
      <x:c r="U21" s="308" t="str">
        <x:v>Ejecuciones y violaciones de derechos humanos</x:v>
      </x:c>
      <x:c r="V21" s="308" t="str">
        <x:v>Alta</x:v>
      </x:c>
      <x:c r="W21" s="308" t="str">
        <x:v>ONU, HRW, Amnistía y fuentes internas independientes</x:v>
      </x:c>
      <x:c r="X21" s="308" t="str">
        <x:v>Uso condicionado</x:v>
      </x:c>
      <x:c r="Y21" s="308"/>
      <x:c r="Z21" s="308" t="str">
        <x:v>https://iranhr.net/en/</x:v>
      </x:c>
      <x:c r="AA21" s="310" t="n">
        <x:v>46219</x:v>
      </x:c>
    </x:row>
    <x:row r="22">
      <x:c r="A22" s="309" t="n">
        <x:v>67</x:v>
      </x:c>
      <x:c r="B22" s="312" t="str">
        <x:v>IranWire</x:v>
      </x:c>
      <x:c r="C22" s="313" t="str">
        <x:v>https://iranwire.com/en/</x:v>
      </x:c>
      <x:c r="D22" s="308" t="str">
        <x:v>Diáspora; foco en Irán</x:v>
      </x:c>
      <x:c r="E22" s="308" t="str">
        <x:v>Irán</x:v>
      </x:c>
      <x:c r="F22" s="308" t="str">
        <x:v>Persa/Inglés</x:v>
      </x:c>
      <x:c r="G22" s="308" t="str">
        <x:v>Medio de oposición / DD. HH.</x:v>
      </x:c>
      <x:c r="H22" s="308" t="str">
        <x:v>Noticias, testimonios y documentación</x:v>
      </x:c>
      <x:c r="I22" s="308" t="str">
        <x:v>Independiente / diáspora</x:v>
      </x:c>
      <x:c r="J22" s="308" t="str">
        <x:v>Independiente</x:v>
      </x:c>
      <x:c r="K22" s="308" t="str">
        <x:v>Crítico del régimen</x:v>
      </x:c>
      <x:c r="L22" s="404" t="str">
        <x:v>Diáspora iraní</x:v>
      </x:c>
      <x:c r="M22" s="309" t="n">
        <x:v>3</x:v>
      </x:c>
      <x:c r="N22" s="309" t="n">
        <x:v>4</x:v>
      </x:c>
      <x:c r="O22" s="309" t="n">
        <x:v>3</x:v>
      </x:c>
      <x:c r="P22" s="309" t="n">
        <x:v>3</x:v>
      </x:c>
      <x:c r="Q22" s="309" t="n">
        <x:v>3</x:v>
      </x:c>
      <x:c r="R22" s="309" t="n">
        <x:v>4</x:v>
      </x:c>
      <x:c r="S22" s="311" t="n">
        <x:v>3.3</x:v>
      </x:c>
      <x:c r="T22" s="309" t="str">
        <x:v>Media</x:v>
      </x:c>
      <x:c r="U22" s="308" t="str">
        <x:v>Testimonios, sociedad iraní y temas censurados</x:v>
      </x:c>
      <x:c r="V22" s="308" t="str">
        <x:v>Alta</x:v>
      </x:c>
      <x:c r="W22" s="308" t="str">
        <x:v>Reuters, ONU, BBC Persian y verificación documental</x:v>
      </x:c>
      <x:c r="X22" s="308" t="str">
        <x:v>Uso condicionado</x:v>
      </x:c>
      <x:c r="Y22" s="308"/>
      <x:c r="Z22" s="308" t="str">
        <x:v>https://iranwire.com/en/</x:v>
      </x:c>
      <x:c r="AA22" s="310" t="n">
        <x:v>46219</x:v>
      </x:c>
    </x:row>
    <x:row r="23">
      <x:c r="A23" s="309" t="n">
        <x:v>59</x:v>
      </x:c>
      <x:c r="B23" s="312" t="str">
        <x:v>UNESCO</x:v>
      </x:c>
      <x:c r="C23" s="313" t="str">
        <x:v>https://www.unesco.org/</x:v>
      </x:c>
      <x:c r="D23" s="308" t="str">
        <x:v>Organización internacional; sede en París</x:v>
      </x:c>
      <x:c r="E23" s="308" t="str">
        <x:v>Global</x:v>
      </x:c>
      <x:c r="F23" s="308" t="str">
        <x:v>Multilingüe</x:v>
      </x:c>
      <x:c r="G23" s="308" t="str">
        <x:v>Organismo internacional</x:v>
      </x:c>
      <x:c r="H23" s="308" t="str">
        <x:v>Datos, normas y programas</x:v>
      </x:c>
      <x:c r="I23" s="308" t="str">
        <x:v>Estados miembros</x:v>
      </x:c>
      <x:c r="J23" s="308" t="str">
        <x:v>Internacional</x:v>
      </x:c>
      <x:c r="K23" s="308" t="str">
        <x:v>Multilateral</x:v>
      </x:c>
      <x:c r="L23" s="404" t="str">
        <x:v>Educación, ciencia y cultura</x:v>
      </x:c>
      <x:c r="M23" s="309" t="n">
        <x:v>4</x:v>
      </x:c>
      <x:c r="N23" s="309" t="n">
        <x:v>4</x:v>
      </x:c>
      <x:c r="O23" s="309" t="n">
        <x:v>5</x:v>
      </x:c>
      <x:c r="P23" s="309" t="n">
        <x:v>4</x:v>
      </x:c>
      <x:c r="Q23" s="309" t="n">
        <x:v>4</x:v>
      </x:c>
      <x:c r="R23" s="309" t="n">
        <x:v>5</x:v>
      </x:c>
      <x:c r="S23" s="311" t="n">
        <x:v>4.3</x:v>
      </x:c>
      <x:c r="T23" s="309" t="str">
        <x:v>Alta</x:v>
      </x:c>
      <x:c r="U23" s="308" t="str">
        <x:v>Datos institucionales, patrimonio y libertad de expresión</x:v>
      </x:c>
      <x:c r="V23" s="308" t="str">
        <x:v>Moderada</x:v>
      </x:c>
      <x:c r="W23" s="308" t="str">
        <x:v>Estadísticas nacionales y fuentes académicas</x:v>
      </x:c>
      <x:c r="X23" s="308" t="str">
        <x:v>Activo</x:v>
      </x:c>
      <x:c r="Y23" s="308"/>
      <x:c r="Z23" s="308" t="str">
        <x:v>https://www.unesco.org/</x:v>
      </x:c>
      <x:c r="AA23" s="310" t="n">
        <x:v>46219</x:v>
      </x:c>
    </x:row>
    <x:row r="24">
      <x:c r="A24" s="309" t="n">
        <x:v>31</x:v>
      </x:c>
      <x:c r="B24" s="312" t="str">
        <x:v>Mada Masr</x:v>
      </x:c>
      <x:c r="C24" s="313" t="str">
        <x:v>https://www.madamasr.com/en/</x:v>
      </x:c>
      <x:c r="D24" s="308" t="str">
        <x:v>Egipto</x:v>
      </x:c>
      <x:c r="E24" s="308" t="str">
        <x:v>África del Norte / Medio Oriente</x:v>
      </x:c>
      <x:c r="F24" s="308" t="str">
        <x:v>Árabe/Inglés</x:v>
      </x:c>
      <x:c r="G24" s="308" t="str">
        <x:v>Medio independiente</x:v>
      </x:c>
      <x:c r="H24" s="308" t="str">
        <x:v>Investigación y reportajes</x:v>
      </x:c>
      <x:c r="I24" s="308" t="str">
        <x:v>Independiente</x:v>
      </x:c>
      <x:c r="J24" s="308" t="str">
        <x:v>Independiente</x:v>
      </x:c>
      <x:c r="K24" s="308" t="str">
        <x:v>Progresista / derechos civiles</x:v>
      </x:c>
      <x:c r="L24" s="404" t="str">
        <x:v>Egipcia / regional</x:v>
      </x:c>
      <x:c r="M24" s="309" t="n">
        <x:v>4</x:v>
      </x:c>
      <x:c r="N24" s="309" t="n">
        <x:v>4</x:v>
      </x:c>
      <x:c r="O24" s="309" t="n">
        <x:v>4</x:v>
      </x:c>
      <x:c r="P24" s="309" t="n">
        <x:v>4</x:v>
      </x:c>
      <x:c r="Q24" s="309" t="n">
        <x:v>3</x:v>
      </x:c>
      <x:c r="R24" s="309" t="n">
        <x:v>4</x:v>
      </x:c>
      <x:c r="S24" s="311" t="n">
        <x:v>3.8</x:v>
      </x:c>
      <x:c r="T24" s="309" t="str">
        <x:v>Media-alta</x:v>
      </x:c>
      <x:c r="U24" s="308" t="str">
        <x:v>Egipto, derechos y política regional</x:v>
      </x:c>
      <x:c r="V24" s="308" t="str">
        <x:v>Moderada</x:v>
      </x:c>
      <x:c r="W24" s="308" t="str">
        <x:v>Agencias y documentos oficiales</x:v>
      </x:c>
      <x:c r="X24" s="308" t="str">
        <x:v>Activo</x:v>
      </x:c>
      <x:c r="Y24" s="308"/>
      <x:c r="Z24" s="308" t="str">
        <x:v>https://www.madamasr.com/en/</x:v>
      </x:c>
      <x:c r="AA24" s="310" t="n">
        <x:v>46219</x:v>
      </x:c>
    </x:row>
    <x:row r="25">
      <x:c r="A25" s="309" t="n">
        <x:v>21</x:v>
      </x:c>
      <x:c r="B25" s="312" t="str">
        <x:v>Gulf News</x:v>
      </x:c>
      <x:c r="C25" s="313" t="str">
        <x:v>https://gulfnews.com/</x:v>
      </x:c>
      <x:c r="D25" s="308" t="str">
        <x:v>Emiratos Árabes Unidos</x:v>
      </x:c>
      <x:c r="E25" s="308" t="str">
        <x:v>Medio Oriente</x:v>
      </x:c>
      <x:c r="F25" s="308" t="str">
        <x:v>Inglés</x:v>
      </x:c>
      <x:c r="G25" s="308" t="str">
        <x:v>Medio regional</x:v>
      </x:c>
      <x:c r="H25" s="308" t="str">
        <x:v>Noticias generales y regionales</x:v>
      </x:c>
      <x:c r="I25" s="308" t="str">
        <x:v>Privado comercial en entorno altamente regulado</x:v>
      </x:c>
      <x:c r="J25" s="308" t="str">
        <x:v>Privado/regulado</x:v>
      </x:c>
      <x:c r="K25" s="308" t="str">
        <x:v>Proinstitucional</x:v>
      </x:c>
      <x:c r="L25" s="404" t="str">
        <x:v>Emiratí / Golfo</x:v>
      </x:c>
      <x:c r="M25" s="309" t="n">
        <x:v>3</x:v>
      </x:c>
      <x:c r="N25" s="309" t="n">
        <x:v>2</x:v>
      </x:c>
      <x:c r="O25" s="309" t="n">
        <x:v>3</x:v>
      </x:c>
      <x:c r="P25" s="309" t="n">
        <x:v>3</x:v>
      </x:c>
      <x:c r="Q25" s="309" t="n">
        <x:v>3</x:v>
      </x:c>
      <x:c r="R25" s="309" t="n">
        <x:v>4</x:v>
      </x:c>
      <x:c r="S25" s="311" t="n">
        <x:v>3</x:v>
      </x:c>
      <x:c r="T25" s="309" t="str">
        <x:v>Media</x:v>
      </x:c>
      <x:c r="U25" s="308" t="str">
        <x:v>Economía y narrativa oficial del Golfo</x:v>
      </x:c>
      <x:c r="V25" s="308" t="str">
        <x:v>Alta en política interna y regional sensible</x:v>
      </x:c>
      <x:c r="W25" s="308" t="str">
        <x:v>Reuters, AFP y medios árabes independientes</x:v>
      </x:c>
      <x:c r="X25" s="308" t="str">
        <x:v>Uso condicionado</x:v>
      </x:c>
      <x:c r="Y25" s="308"/>
      <x:c r="Z25" s="308" t="str">
        <x:v>https://gulfnews.com/</x:v>
      </x:c>
      <x:c r="AA25" s="310" t="n">
        <x:v>46219</x:v>
      </x:c>
    </x:row>
    <x:row r="26">
      <x:c r="A26" s="309" t="n">
        <x:v>25</x:v>
      </x:c>
      <x:c r="B26" s="312" t="str">
        <x:v>Khaleej Times</x:v>
      </x:c>
      <x:c r="C26" s="313" t="str">
        <x:v>https://www.khaleejtimes.com/</x:v>
      </x:c>
      <x:c r="D26" s="308" t="str">
        <x:v>Emiratos Árabes Unidos</x:v>
      </x:c>
      <x:c r="E26" s="308" t="str">
        <x:v>Medio Oriente</x:v>
      </x:c>
      <x:c r="F26" s="308" t="str">
        <x:v>Inglés</x:v>
      </x:c>
      <x:c r="G26" s="308" t="str">
        <x:v>Medio regional</x:v>
      </x:c>
      <x:c r="H26" s="308" t="str">
        <x:v>Noticias generales y económicas</x:v>
      </x:c>
      <x:c r="I26" s="308" t="str">
        <x:v>Privado comercial en entorno altamente regulado</x:v>
      </x:c>
      <x:c r="J26" s="308" t="str">
        <x:v>Privado/regulado</x:v>
      </x:c>
      <x:c r="K26" s="308" t="str">
        <x:v>Proinstitucional</x:v>
      </x:c>
      <x:c r="L26" s="404" t="str">
        <x:v>Emiratí / Golfo</x:v>
      </x:c>
      <x:c r="M26" s="309" t="n">
        <x:v>3</x:v>
      </x:c>
      <x:c r="N26" s="309" t="n">
        <x:v>2</x:v>
      </x:c>
      <x:c r="O26" s="309" t="n">
        <x:v>3</x:v>
      </x:c>
      <x:c r="P26" s="309" t="n">
        <x:v>3</x:v>
      </x:c>
      <x:c r="Q26" s="309" t="n">
        <x:v>3</x:v>
      </x:c>
      <x:c r="R26" s="309" t="n">
        <x:v>4</x:v>
      </x:c>
      <x:c r="S26" s="311" t="n">
        <x:v>3</x:v>
      </x:c>
      <x:c r="T26" s="309" t="str">
        <x:v>Media</x:v>
      </x:c>
      <x:c r="U26" s="308" t="str">
        <x:v>Economía y vida regional del Golfo</x:v>
      </x:c>
      <x:c r="V26" s="308" t="str">
        <x:v>Alta en asuntos internos sensibles</x:v>
      </x:c>
      <x:c r="W26" s="308" t="str">
        <x:v>Reuters, AFP y medios regionales independientes</x:v>
      </x:c>
      <x:c r="X26" s="308" t="str">
        <x:v>Uso condicionado</x:v>
      </x:c>
      <x:c r="Y26" s="308"/>
      <x:c r="Z26" s="308" t="str">
        <x:v>https://www.khaleejtimes.com/</x:v>
      </x:c>
      <x:c r="AA26" s="310" t="n">
        <x:v>46219</x:v>
      </x:c>
    </x:row>
    <x:row r="27">
      <x:c r="A27" s="309" t="n">
        <x:v>5</x:v>
      </x:c>
      <x:c r="B27" s="312" t="str">
        <x:v>La Vanguardia</x:v>
      </x:c>
      <x:c r="C27" s="313" t="str">
        <x:v>https://www.lavanguardia.com/</x:v>
      </x:c>
      <x:c r="D27" s="308" t="str">
        <x:v>España</x:v>
      </x:c>
      <x:c r="E27" s="308" t="str">
        <x:v>Occidente</x:v>
      </x:c>
      <x:c r="F27" s="308" t="str">
        <x:v>Español</x:v>
      </x:c>
      <x:c r="G27" s="308" t="str">
        <x:v>Medio generalista</x:v>
      </x:c>
      <x:c r="H27" s="308" t="str">
        <x:v>Noticias y análisis</x:v>
      </x:c>
      <x:c r="I27" s="308" t="str">
        <x:v>Privado comercial</x:v>
      </x:c>
      <x:c r="J27" s="308" t="str">
        <x:v>Privado</x:v>
      </x:c>
      <x:c r="K27" s="308" t="str">
        <x:v>Centro liberal</x:v>
      </x:c>
      <x:c r="L27" s="404" t="str">
        <x:v>España / Europa</x:v>
      </x:c>
      <x:c r="M27" s="309" t="n">
        <x:v>4</x:v>
      </x:c>
      <x:c r="N27" s="309" t="n">
        <x:v>4</x:v>
      </x:c>
      <x:c r="O27" s="309" t="n">
        <x:v>4</x:v>
      </x:c>
      <x:c r="P27" s="309" t="n">
        <x:v>4</x:v>
      </x:c>
      <x:c r="Q27" s="309" t="n">
        <x:v>4</x:v>
      </x:c>
      <x:c r="R27" s="309" t="n">
        <x:v>4</x:v>
      </x:c>
      <x:c r="S27" s="311" t="n">
        <x:v>4</x:v>
      </x:c>
      <x:c r="T27" s="309" t="str">
        <x:v>Media-alta</x:v>
      </x:c>
      <x:c r="U27" s="308" t="str">
        <x:v>España, Europa y contexto internacional</x:v>
      </x:c>
      <x:c r="V27" s="308" t="str">
        <x:v>Moderada</x:v>
      </x:c>
      <x:c r="W27" s="308" t="str">
        <x:v>Agencias y prensa internacional</x:v>
      </x:c>
      <x:c r="X27" s="308" t="str">
        <x:v>Activo</x:v>
      </x:c>
      <x:c r="Y27" s="308"/>
      <x:c r="Z27" s="308" t="str">
        <x:v>https://www.lavanguardia.com/</x:v>
      </x:c>
      <x:c r="AA27" s="310" t="n">
        <x:v>46219</x:v>
      </x:c>
    </x:row>
    <x:row r="28">
      <x:c r="A28" s="309" t="n">
        <x:v>6</x:v>
      </x:c>
      <x:c r="B28" s="312" t="str">
        <x:v>NBC News</x:v>
      </x:c>
      <x:c r="C28" s="313" t="str">
        <x:v>https://www.nbcnews.com/</x:v>
      </x:c>
      <x:c r="D28" s="308" t="str">
        <x:v>Estados Unidos</x:v>
      </x:c>
      <x:c r="E28" s="308" t="str">
        <x:v>Occidente</x:v>
      </x:c>
      <x:c r="F28" s="308" t="str">
        <x:v>Inglés</x:v>
      </x:c>
      <x:c r="G28" s="308" t="str">
        <x:v>Televisión y medio digital</x:v>
      </x:c>
      <x:c r="H28" s="308" t="str">
        <x:v>Noticias generales</x:v>
      </x:c>
      <x:c r="I28" s="308" t="str">
        <x:v>Privado comercial</x:v>
      </x:c>
      <x:c r="J28" s="308" t="str">
        <x:v>Privado</x:v>
      </x:c>
      <x:c r="K28" s="308" t="str">
        <x:v>Centro-izquierda</x:v>
      </x:c>
      <x:c r="L28" s="404" t="str">
        <x:v>Estadounidense</x:v>
      </x:c>
      <x:c r="M28" s="309" t="n">
        <x:v>4</x:v>
      </x:c>
      <x:c r="N28" s="309" t="n">
        <x:v>4</x:v>
      </x:c>
      <x:c r="O28" s="309" t="n">
        <x:v>4</x:v>
      </x:c>
      <x:c r="P28" s="309" t="n">
        <x:v>4</x:v>
      </x:c>
      <x:c r="Q28" s="309" t="n">
        <x:v>4</x:v>
      </x:c>
      <x:c r="R28" s="309" t="n">
        <x:v>4</x:v>
      </x:c>
      <x:c r="S28" s="311" t="n">
        <x:v>4</x:v>
      </x:c>
      <x:c r="T28" s="309" t="str">
        <x:v>Media-alta</x:v>
      </x:c>
      <x:c r="U28" s="308" t="str">
        <x:v>Política y sociedad de Estados Unidos</x:v>
      </x:c>
      <x:c r="V28" s="308" t="str">
        <x:v>Moderada</x:v>
      </x:c>
      <x:c r="W28" s="308" t="str">
        <x:v>AP, Reuters y documentos oficiales</x:v>
      </x:c>
      <x:c r="X28" s="308" t="str">
        <x:v>Activo</x:v>
      </x:c>
      <x:c r="Y28" s="308"/>
      <x:c r="Z28" s="308" t="str">
        <x:v>https://www.nbcnews.com/</x:v>
      </x:c>
      <x:c r="AA28" s="310" t="n">
        <x:v>46219</x:v>
      </x:c>
    </x:row>
    <x:row r="29">
      <x:c r="A29" s="309" t="n">
        <x:v>56</x:v>
      </x:c>
      <x:c r="B29" s="312" t="str">
        <x:v>U.S. Energy Information Administration (EIA)</x:v>
      </x:c>
      <x:c r="C29" s="313" t="str">
        <x:v>https://www.eia.gov/</x:v>
      </x:c>
      <x:c r="D29" s="308" t="str">
        <x:v>Estados Unidos; alcance estadístico global</x:v>
      </x:c>
      <x:c r="E29" s="308" t="str">
        <x:v>Global</x:v>
      </x:c>
      <x:c r="F29" s="308" t="str">
        <x:v>Inglés</x:v>
      </x:c>
      <x:c r="G29" s="308" t="str">
        <x:v>Agencia gubernamental</x:v>
      </x:c>
      <x:c r="H29" s="308" t="str">
        <x:v>Datos y análisis energéticos</x:v>
      </x:c>
      <x:c r="I29" s="308" t="str">
        <x:v>Gobierno de Estados Unidos</x:v>
      </x:c>
      <x:c r="J29" s="308" t="str">
        <x:v>Oficial</x:v>
      </x:c>
      <x:c r="K29" s="308" t="str">
        <x:v>Técnica</x:v>
      </x:c>
      <x:c r="L29" s="404" t="str">
        <x:v>Estadounidense / energética</x:v>
      </x:c>
      <x:c r="M29" s="309" t="n">
        <x:v>5</x:v>
      </x:c>
      <x:c r="N29" s="309" t="n">
        <x:v>4</x:v>
      </x:c>
      <x:c r="O29" s="309" t="n">
        <x:v>5</x:v>
      </x:c>
      <x:c r="P29" s="309" t="n">
        <x:v>5</x:v>
      </x:c>
      <x:c r="Q29" s="309" t="n">
        <x:v>5</x:v>
      </x:c>
      <x:c r="R29" s="309" t="n">
        <x:v>5</x:v>
      </x:c>
      <x:c r="S29" s="311" t="n">
        <x:v>4.8</x:v>
      </x:c>
      <x:c r="T29" s="309" t="str">
        <x:v>Alta</x:v>
      </x:c>
      <x:c r="U29" s="308" t="str">
        <x:v>Datos de energía, petróleo y gas</x:v>
      </x:c>
      <x:c r="V29" s="308" t="str">
        <x:v>Baja</x:v>
      </x:c>
      <x:c r="W29" s="308" t="str">
        <x:v>AIE, OPEP y estadísticas nacionales</x:v>
      </x:c>
      <x:c r="X29" s="308" t="str">
        <x:v>Activo</x:v>
      </x:c>
      <x:c r="Y29" s="308"/>
      <x:c r="Z29" s="308" t="str">
        <x:v>https://www.eia.gov/</x:v>
      </x:c>
      <x:c r="AA29" s="310" t="n">
        <x:v>46219</x:v>
      </x:c>
    </x:row>
    <x:row r="30">
      <x:c r="A30" s="309" t="n">
        <x:v>10</x:v>
      </x:c>
      <x:c r="B30" s="312" t="str">
        <x:v>The New York Times</x:v>
      </x:c>
      <x:c r="C30" s="313" t="str">
        <x:v>https://www.nytimes.com/</x:v>
      </x:c>
      <x:c r="D30" s="308" t="str">
        <x:v>Estados Unidos; alcance global</x:v>
      </x:c>
      <x:c r="E30" s="308" t="str">
        <x:v>Global/Occidente</x:v>
      </x:c>
      <x:c r="F30" s="308" t="str">
        <x:v>Inglés</x:v>
      </x:c>
      <x:c r="G30" s="308" t="str">
        <x:v>Medio generalista</x:v>
      </x:c>
      <x:c r="H30" s="308" t="str">
        <x:v>Noticias, investigación y análisis</x:v>
      </x:c>
      <x:c r="I30" s="308" t="str">
        <x:v>Privado comercial</x:v>
      </x:c>
      <x:c r="J30" s="308" t="str">
        <x:v>Privado</x:v>
      </x:c>
      <x:c r="K30" s="308" t="str">
        <x:v>Centro-izquierda liberal</x:v>
      </x:c>
      <x:c r="L30" s="404" t="str">
        <x:v>Estadounidense / liberal internacionalista</x:v>
      </x:c>
      <x:c r="M30" s="309" t="n">
        <x:v>5</x:v>
      </x:c>
      <x:c r="N30" s="309" t="n">
        <x:v>4</x:v>
      </x:c>
      <x:c r="O30" s="309" t="n">
        <x:v>4</x:v>
      </x:c>
      <x:c r="P30" s="309" t="n">
        <x:v>5</x:v>
      </x:c>
      <x:c r="Q30" s="309" t="n">
        <x:v>5</x:v>
      </x:c>
      <x:c r="R30" s="309" t="n">
        <x:v>4</x:v>
      </x:c>
      <x:c r="S30" s="311" t="n">
        <x:v>4.5</x:v>
      </x:c>
      <x:c r="T30" s="309" t="str">
        <x:v>Alta</x:v>
      </x:c>
      <x:c r="U30" s="308" t="str">
        <x:v>Investigación y contexto profundo</x:v>
      </x:c>
      <x:c r="V30" s="308" t="str">
        <x:v>Moderada</x:v>
      </x:c>
      <x:c r="W30" s="308" t="str">
        <x:v>Agencias, documentos y prensa local</x:v>
      </x:c>
      <x:c r="X30" s="308" t="str">
        <x:v>Activo</x:v>
      </x:c>
      <x:c r="Y30" s="308" t="str">
        <x:v>Distinguir con claridad noticias, análisis y columnas.</x:v>
      </x:c>
      <x:c r="Z30" s="308" t="str">
        <x:v>https://www.nytimes.com/</x:v>
      </x:c>
      <x:c r="AA30" s="310" t="n">
        <x:v>46219</x:v>
      </x:c>
    </x:row>
    <x:row r="31">
      <x:c r="A31" s="309" t="n">
        <x:v>60</x:v>
      </x:c>
      <x:c r="B31" s="312" t="str">
        <x:v>U.S. CENTCOM</x:v>
      </x:c>
      <x:c r="C31" s="313" t="str">
        <x:v>https://www.centcom.mil/</x:v>
      </x:c>
      <x:c r="D31" s="308" t="str">
        <x:v>Estados Unidos; área de responsabilidad regional</x:v>
      </x:c>
      <x:c r="E31" s="308" t="str">
        <x:v>Medio Oriente/Asia Central</x:v>
      </x:c>
      <x:c r="F31" s="308" t="str">
        <x:v>Inglés</x:v>
      </x:c>
      <x:c r="G31" s="308" t="str">
        <x:v>Comando militar</x:v>
      </x:c>
      <x:c r="H31" s="308" t="str">
        <x:v>Comunicados y posición operativa oficial</x:v>
      </x:c>
      <x:c r="I31" s="308" t="str">
        <x:v>Gobierno de Estados Unidos</x:v>
      </x:c>
      <x:c r="J31" s="308" t="str">
        <x:v>Oficial / parte interesada</x:v>
      </x:c>
      <x:c r="K31" s="308" t="str">
        <x:v>Línea oficial militar</x:v>
      </x:c>
      <x:c r="L31" s="404" t="str">
        <x:v>Estadounidense / militar</x:v>
      </x:c>
      <x:c r="M31" s="309" t="n">
        <x:v>3</x:v>
      </x:c>
      <x:c r="N31" s="309" t="n">
        <x:v>1</x:v>
      </x:c>
      <x:c r="O31" s="309" t="n">
        <x:v>5</x:v>
      </x:c>
      <x:c r="P31" s="309" t="n">
        <x:v>3</x:v>
      </x:c>
      <x:c r="Q31" s="309" t="n">
        <x:v>3</x:v>
      </x:c>
      <x:c r="R31" s="309" t="n">
        <x:v>4</x:v>
      </x:c>
      <x:c r="S31" s="311" t="n">
        <x:v>3.2</x:v>
      </x:c>
      <x:c r="T31" s="309" t="str">
        <x:v>Media</x:v>
      </x:c>
      <x:c r="U31" s="308" t="str">
        <x:v>Declaraciones oficiales y cronología militar estadounidense</x:v>
      </x:c>
      <x:c r="V31" s="308" t="str">
        <x:v>Obligatoria</x:v>
      </x:c>
      <x:c r="W31" s="308" t="str">
        <x:v>Prensa independiente, imágenes, ONU y contraparte local</x:v>
      </x:c>
      <x:c r="X31" s="308" t="str">
        <x:v>Uso condicionado</x:v>
      </x:c>
      <x:c r="Y31" s="308" t="str">
        <x:v>Fuente primaria, no verificación independiente.</x:v>
      </x:c>
      <x:c r="Z31" s="308" t="str">
        <x:v>https://www.centcom.mil/</x:v>
      </x:c>
      <x:c r="AA31" s="310" t="n">
        <x:v>46219</x:v>
      </x:c>
    </x:row>
    <x:row r="32">
      <x:c r="A32" s="309" t="n">
        <x:v>1</x:v>
      </x:c>
      <x:c r="B32" s="312" t="str">
        <x:v>Axios</x:v>
      </x:c>
      <x:c r="C32" s="313" t="str">
        <x:v>https://www.axios.com/</x:v>
      </x:c>
      <x:c r="D32" s="308" t="str">
        <x:v>Estados Unidos</x:v>
      </x:c>
      <x:c r="E32" s="308" t="str">
        <x:v>Occidente</x:v>
      </x:c>
      <x:c r="F32" s="308" t="str">
        <x:v>Inglés</x:v>
      </x:c>
      <x:c r="G32" s="308" t="str">
        <x:v>Medio generalista</x:v>
      </x:c>
      <x:c r="H32" s="308" t="str">
        <x:v>Noticias y explicación breve</x:v>
      </x:c>
      <x:c r="I32" s="308" t="str">
        <x:v>Privado comercial</x:v>
      </x:c>
      <x:c r="J32" s="308" t="str">
        <x:v>Privado</x:v>
      </x:c>
      <x:c r="K32" s="308" t="str">
        <x:v>Centro</x:v>
      </x:c>
      <x:c r="L32" s="404" t="str">
        <x:v>Estadounidense / política pública</x:v>
      </x:c>
      <x:c r="M32" s="309" t="n">
        <x:v>4</x:v>
      </x:c>
      <x:c r="N32" s="309" t="n">
        <x:v>4</x:v>
      </x:c>
      <x:c r="O32" s="309" t="n">
        <x:v>4</x:v>
      </x:c>
      <x:c r="P32" s="309" t="n">
        <x:v>4</x:v>
      </x:c>
      <x:c r="Q32" s="309" t="n">
        <x:v>4</x:v>
      </x:c>
      <x:c r="R32" s="309" t="n">
        <x:v>4</x:v>
      </x:c>
      <x:c r="S32" s="311" t="n">
        <x:v>4</x:v>
      </x:c>
      <x:c r="T32" s="309" t="str">
        <x:v>Media-alta</x:v>
      </x:c>
      <x:c r="U32" s="308" t="str">
        <x:v>Seguimiento rápido de política estadounidense</x:v>
      </x:c>
      <x:c r="V32" s="308" t="str">
        <x:v>Moderada</x:v>
      </x:c>
      <x:c r="W32" s="308" t="str">
        <x:v>Reuters, AP y documentos oficiales</x:v>
      </x:c>
      <x:c r="X32" s="308" t="str">
        <x:v>Activo</x:v>
      </x:c>
      <x:c r="Y32" s="308" t="str">
        <x:v>Útil para velocidad y síntesis; verificar primicias de alto impacto.</x:v>
      </x:c>
      <x:c r="Z32" s="308" t="str">
        <x:v>https://www.axios.com/</x:v>
      </x:c>
      <x:c r="AA32" s="310" t="n">
        <x:v>46219</x:v>
      </x:c>
    </x:row>
    <x:row r="33">
      <x:c r="A33" s="309" t="n">
        <x:v>39</x:v>
      </x:c>
      <x:c r="B33" s="312" t="str">
        <x:v>Long War Journal</x:v>
      </x:c>
      <x:c r="C33" s="313" t="str">
        <x:v>https://www.longwarjournal.org/</x:v>
      </x:c>
      <x:c r="D33" s="308" t="str">
        <x:v>Estados Unidos</x:v>
      </x:c>
      <x:c r="E33" s="308" t="str">
        <x:v>Global</x:v>
      </x:c>
      <x:c r="F33" s="308" t="str">
        <x:v>Inglés</x:v>
      </x:c>
      <x:c r="G33" s="308" t="str">
        <x:v>Análisis de seguridad</x:v>
      </x:c>
      <x:c r="H33" s="308" t="str">
        <x:v>Seguimiento de conflictos y grupos armados</x:v>
      </x:c>
      <x:c r="I33" s="308" t="str">
        <x:v>Proyecto de organización de seguridad</x:v>
      </x:c>
      <x:c r="J33" s="308" t="str">
        <x:v>ONG/think tank</x:v>
      </x:c>
      <x:c r="K33" s="308" t="str">
        <x:v>Halcón / contraterrorismo</x:v>
      </x:c>
      <x:c r="L33" s="404" t="str">
        <x:v>Estadounidense / seguridad nacional</x:v>
      </x:c>
      <x:c r="M33" s="309" t="n">
        <x:v>4</x:v>
      </x:c>
      <x:c r="N33" s="309" t="n">
        <x:v>3</x:v>
      </x:c>
      <x:c r="O33" s="309" t="n">
        <x:v>4</x:v>
      </x:c>
      <x:c r="P33" s="309" t="n">
        <x:v>4</x:v>
      </x:c>
      <x:c r="Q33" s="309" t="n">
        <x:v>3</x:v>
      </x:c>
      <x:c r="R33" s="309" t="n">
        <x:v>3</x:v>
      </x:c>
      <x:c r="S33" s="311" t="n">
        <x:v>3.5</x:v>
      </x:c>
      <x:c r="T33" s="309" t="str">
        <x:v>Media-alta</x:v>
      </x:c>
      <x:c r="U33" s="308" t="str">
        <x:v>Conflictos y organizaciones yihadistas</x:v>
      </x:c>
      <x:c r="V33" s="308" t="str">
        <x:v>Alta</x:v>
      </x:c>
      <x:c r="W33" s="308" t="str">
        <x:v>ACLED, ONU, prensa local y fuentes independientes</x:v>
      </x:c>
      <x:c r="X33" s="308" t="str">
        <x:v>Uso condicionado</x:v>
      </x:c>
      <x:c r="Y33" s="308"/>
      <x:c r="Z33" s="308" t="str">
        <x:v>https://www.longwarjournal.org/</x:v>
      </x:c>
      <x:c r="AA33" s="310" t="n">
        <x:v>46219</x:v>
      </x:c>
    </x:row>
    <x:row r="34">
      <x:c r="A34" s="309" t="n">
        <x:v>86</x:v>
      </x:c>
      <x:c r="B34" s="312" t="str">
        <x:v>Addis Standard</x:v>
      </x:c>
      <x:c r="C34" s="313" t="str">
        <x:v>https://addisstandard.com/</x:v>
      </x:c>
      <x:c r="D34" s="308" t="str">
        <x:v>Etiopía</x:v>
      </x:c>
      <x:c r="E34" s="308" t="str">
        <x:v>África Oriental / Cuerno de África</x:v>
      </x:c>
      <x:c r="F34" s="308" t="str">
        <x:v>Inglés/Afaan Oromoo/Amárico</x:v>
      </x:c>
      <x:c r="G34" s="308" t="str">
        <x:v>Medio independiente</x:v>
      </x:c>
      <x:c r="H34" s="308" t="str">
        <x:v>Noticias y contenido de interés público</x:v>
      </x:c>
      <x:c r="I34" s="308" t="str">
        <x:v>Publicación privada independiente</x:v>
      </x:c>
      <x:c r="J34" s="308" t="str">
        <x:v>Independiente</x:v>
      </x:c>
      <x:c r="K34" s="308" t="str">
        <x:v>Reformista / derechos civiles</x:v>
      </x:c>
      <x:c r="L34" s="404" t="str">
        <x:v>Etíope / Cuerno de África</x:v>
      </x:c>
      <x:c r="M34" s="309" t="n">
        <x:v>4</x:v>
      </x:c>
      <x:c r="N34" s="309" t="n">
        <x:v>4</x:v>
      </x:c>
      <x:c r="O34" s="309" t="n">
        <x:v>4</x:v>
      </x:c>
      <x:c r="P34" s="309" t="n">
        <x:v>4</x:v>
      </x:c>
      <x:c r="Q34" s="309" t="n">
        <x:v>3</x:v>
      </x:c>
      <x:c r="R34" s="309" t="n">
        <x:v>4</x:v>
      </x:c>
      <x:c r="S34" s="311" t="n">
        <x:v>3.8</x:v>
      </x:c>
      <x:c r="T34" s="309" t="str">
        <x:v>Media-alta</x:v>
      </x:c>
      <x:c r="U34" s="308" t="str">
        <x:v>Etiopía, Unión Africana y Cuerno de África</x:v>
      </x:c>
      <x:c r="V34" s="308" t="str">
        <x:v>Alta en conflictos y política interna</x:v>
      </x:c>
      <x:c r="W34" s="308" t="str">
        <x:v>Reuters/AP, medios regionales, AU, ONU y fuentes oficiales</x:v>
      </x:c>
      <x:c r="X34" s="308" t="str">
        <x:v>Nuevo recomendado</x:v>
      </x:c>
      <x:c r="Y34" s="308" t="str">
        <x:v>Útil por acceso local y cobertura trilingüe; el entorno político etíope exige triangulación reforzada.</x:v>
      </x:c>
      <x:c r="Z34" s="308" t="str">
        <x:v>https://addisstandard.com/about-us/</x:v>
      </x:c>
      <x:c r="AA34" s="310" t="n">
        <x:v>46219</x:v>
      </x:c>
    </x:row>
    <x:row r="35">
      <x:c r="A35" s="309" t="n">
        <x:v>38</x:v>
      </x:c>
      <x:c r="B35" s="312" t="str">
        <x:v>Le Grand Continent</x:v>
      </x:c>
      <x:c r="C35" s="313" t="str">
        <x:v>https://legrandcontinent.eu/</x:v>
      </x:c>
      <x:c r="D35" s="308" t="str">
        <x:v>Francia / Europa</x:v>
      </x:c>
      <x:c r="E35" s="308" t="str">
        <x:v>Europa/Global</x:v>
      </x:c>
      <x:c r="F35" s="308" t="str">
        <x:v>Francés y otros</x:v>
      </x:c>
      <x:c r="G35" s="308" t="str">
        <x:v>Revista de ideas / think tank</x:v>
      </x:c>
      <x:c r="H35" s="308" t="str">
        <x:v>Ensayo, análisis y debate intelectual</x:v>
      </x:c>
      <x:c r="I35" s="308" t="str">
        <x:v>Organización intelectual</x:v>
      </x:c>
      <x:c r="J35" s="308" t="str">
        <x:v>ONG/intelectual</x:v>
      </x:c>
      <x:c r="K35" s="308" t="str">
        <x:v>Europeísta</x:v>
      </x:c>
      <x:c r="L35" s="404" t="str">
        <x:v>Europa continental</x:v>
      </x:c>
      <x:c r="M35" s="309" t="n">
        <x:v>4</x:v>
      </x:c>
      <x:c r="N35" s="309" t="n">
        <x:v>4</x:v>
      </x:c>
      <x:c r="O35" s="309" t="n">
        <x:v>4</x:v>
      </x:c>
      <x:c r="P35" s="309" t="n">
        <x:v>4</x:v>
      </x:c>
      <x:c r="Q35" s="309" t="n">
        <x:v>3</x:v>
      </x:c>
      <x:c r="R35" s="309" t="n">
        <x:v>4</x:v>
      </x:c>
      <x:c r="S35" s="311" t="n">
        <x:v>3.8</x:v>
      </x:c>
      <x:c r="T35" s="309" t="str">
        <x:v>Media-alta</x:v>
      </x:c>
      <x:c r="U35" s="308" t="str">
        <x:v>Debate estratégico europeo y largo formato</x:v>
      </x:c>
      <x:c r="V35" s="308" t="str">
        <x:v>Moderada</x:v>
      </x:c>
      <x:c r="W35" s="308" t="str">
        <x:v>Datos, prensa y autores con enfoques distintos</x:v>
      </x:c>
      <x:c r="X35" s="308" t="str">
        <x:v>Activo</x:v>
      </x:c>
      <x:c r="Y35" s="308"/>
      <x:c r="Z35" s="308" t="str">
        <x:v>https://legrandcontinent.eu/</x:v>
      </x:c>
      <x:c r="AA35" s="310" t="n">
        <x:v>46219</x:v>
      </x:c>
    </x:row>
    <x:row r="36">
      <x:c r="A36" s="309" t="n">
        <x:v>16</x:v>
      </x:c>
      <x:c r="B36" s="312" t="str">
        <x:v>Deutsche Welle</x:v>
      </x:c>
      <x:c r="C36" s="313" t="str">
        <x:v>https://www.dw.com/</x:v>
      </x:c>
      <x:c r="D36" s="308" t="str">
        <x:v>Alemania; alcance global</x:v>
      </x:c>
      <x:c r="E36" s="308" t="str">
        <x:v>Global/Occidente</x:v>
      </x:c>
      <x:c r="F36" s="308" t="str">
        <x:v>Multilingüe</x:v>
      </x:c>
      <x:c r="G36" s="308" t="str">
        <x:v>Radiodifusor público internacional</x:v>
      </x:c>
      <x:c r="H36" s="308" t="str">
        <x:v>Noticias y contexto</x:v>
      </x:c>
      <x:c r="I36" s="308" t="str">
        <x:v>Financiación pública alemana</x:v>
      </x:c>
      <x:c r="J36" s="308" t="str">
        <x:v>Público</x:v>
      </x:c>
      <x:c r="K36" s="308" t="str">
        <x:v>Centro</x:v>
      </x:c>
      <x:c r="L36" s="404" t="str">
        <x:v>Europea / alemana</x:v>
      </x:c>
      <x:c r="M36" s="309" t="n">
        <x:v>4</x:v>
      </x:c>
      <x:c r="N36" s="309" t="n">
        <x:v>4</x:v>
      </x:c>
      <x:c r="O36" s="309" t="n">
        <x:v>5</x:v>
      </x:c>
      <x:c r="P36" s="309" t="n">
        <x:v>4</x:v>
      </x:c>
      <x:c r="Q36" s="309" t="n">
        <x:v>5</x:v>
      </x:c>
      <x:c r="R36" s="309" t="n">
        <x:v>5</x:v>
      </x:c>
      <x:c r="S36" s="311" t="n">
        <x:v>4.5</x:v>
      </x:c>
      <x:c r="T36" s="309" t="str">
        <x:v>Alta</x:v>
      </x:c>
      <x:c r="U36" s="308" t="str">
        <x:v>Europa, Alemania y cobertura multilingüe</x:v>
      </x:c>
      <x:c r="V36" s="308" t="str">
        <x:v>Moderada</x:v>
      </x:c>
      <x:c r="W36" s="308" t="str">
        <x:v>Agencias y medios locales</x:v>
      </x:c>
      <x:c r="X36" s="308" t="str">
        <x:v>Nuevo recomendado</x:v>
      </x:c>
      <x:c r="Y36" s="308"/>
      <x:c r="Z36" s="308" t="str">
        <x:v>https://www.dw.com/</x:v>
      </x:c>
      <x:c r="AA36" s="310" t="n">
        <x:v>46219</x:v>
      </x:c>
    </x:row>
    <x:row r="37">
      <x:c r="A37" s="309" t="n">
        <x:v>33</x:v>
      </x:c>
      <x:c r="B37" s="312" t="str">
        <x:v>ECFR</x:v>
      </x:c>
      <x:c r="C37" s="313" t="str">
        <x:v>https://ecfr.eu/</x:v>
      </x:c>
      <x:c r="D37" s="308" t="str">
        <x:v>Paneuropeo; oficinas en varias capitales</x:v>
      </x:c>
      <x:c r="E37" s="308" t="str">
        <x:v>Europa/Global</x:v>
      </x:c>
      <x:c r="F37" s="308" t="str">
        <x:v>Inglés y lenguas europeas</x:v>
      </x:c>
      <x:c r="G37" s="308" t="str">
        <x:v>Think tank</x:v>
      </x:c>
      <x:c r="H37" s="308" t="str">
        <x:v>Política exterior europea</x:v>
      </x:c>
      <x:c r="I37" s="308" t="str">
        <x:v>Organización sin fines de lucro</x:v>
      </x:c>
      <x:c r="J37" s="308" t="str">
        <x:v>ONG/think tank</x:v>
      </x:c>
      <x:c r="K37" s="308" t="str">
        <x:v>Europeísta liberal</x:v>
      </x:c>
      <x:c r="L37" s="404" t="str">
        <x:v>Europea estratégica</x:v>
      </x:c>
      <x:c r="M37" s="309" t="n">
        <x:v>4</x:v>
      </x:c>
      <x:c r="N37" s="309" t="n">
        <x:v>4</x:v>
      </x:c>
      <x:c r="O37" s="309" t="n">
        <x:v>5</x:v>
      </x:c>
      <x:c r="P37" s="309" t="n">
        <x:v>4</x:v>
      </x:c>
      <x:c r="Q37" s="309" t="n">
        <x:v>4</x:v>
      </x:c>
      <x:c r="R37" s="309" t="n">
        <x:v>5</x:v>
      </x:c>
      <x:c r="S37" s="311" t="n">
        <x:v>4.3</x:v>
      </x:c>
      <x:c r="T37" s="309" t="str">
        <x:v>Alta</x:v>
      </x:c>
      <x:c r="U37" s="308" t="str">
        <x:v>Política exterior y seguridad europea</x:v>
      </x:c>
      <x:c r="V37" s="308" t="str">
        <x:v>Moderada</x:v>
      </x:c>
      <x:c r="W37" s="308" t="str">
        <x:v>Instituciones UE, think tanks nacionales y datos</x:v>
      </x:c>
      <x:c r="X37" s="308" t="str">
        <x:v>Activo</x:v>
      </x:c>
      <x:c r="Y37" s="308" t="str">
        <x:v>Corregido: paneuropeo, no Reino Unido/Bélgica.</x:v>
      </x:c>
      <x:c r="Z37" s="308" t="str">
        <x:v>https://ecfr.eu/contact/</x:v>
      </x:c>
      <x:c r="AA37" s="310" t="n">
        <x:v>46219</x:v>
      </x:c>
    </x:row>
    <x:row r="38">
      <x:c r="A38" s="309" t="n">
        <x:v>3</x:v>
      </x:c>
      <x:c r="B38" s="312" t="str">
        <x:v>El País</x:v>
      </x:c>
      <x:c r="C38" s="313" t="str">
        <x:v>https://elpais.com/</x:v>
      </x:c>
      <x:c r="D38" s="308" t="str">
        <x:v>España</x:v>
      </x:c>
      <x:c r="E38" s="308" t="str">
        <x:v>Occidente/América Latina</x:v>
      </x:c>
      <x:c r="F38" s="308" t="str">
        <x:v>Español</x:v>
      </x:c>
      <x:c r="G38" s="308" t="str">
        <x:v>Medio generalista</x:v>
      </x:c>
      <x:c r="H38" s="308" t="str">
        <x:v>Noticias, análisis y opinión</x:v>
      </x:c>
      <x:c r="I38" s="308" t="str">
        <x:v>Privado comercial</x:v>
      </x:c>
      <x:c r="J38" s="308" t="str">
        <x:v>Privado</x:v>
      </x:c>
      <x:c r="K38" s="308" t="str">
        <x:v>Centro-izquierda liberal</x:v>
      </x:c>
      <x:c r="L38" s="404" t="str">
        <x:v>Europeísta / iberoamericana</x:v>
      </x:c>
      <x:c r="M38" s="309" t="n">
        <x:v>4</x:v>
      </x:c>
      <x:c r="N38" s="309" t="n">
        <x:v>4</x:v>
      </x:c>
      <x:c r="O38" s="309" t="n">
        <x:v>4</x:v>
      </x:c>
      <x:c r="P38" s="309" t="n">
        <x:v>4</x:v>
      </x:c>
      <x:c r="Q38" s="309" t="n">
        <x:v>4</x:v>
      </x:c>
      <x:c r="R38" s="309" t="n">
        <x:v>4</x:v>
      </x:c>
      <x:c r="S38" s="311" t="n">
        <x:v>4</x:v>
      </x:c>
      <x:c r="T38" s="309" t="str">
        <x:v>Media-alta</x:v>
      </x:c>
      <x:c r="U38" s="308" t="str">
        <x:v>Cobertura europea y latinoamericana</x:v>
      </x:c>
      <x:c r="V38" s="308" t="str">
        <x:v>Moderada</x:v>
      </x:c>
      <x:c r="W38" s="308" t="str">
        <x:v>Agencias y medios locales</x:v>
      </x:c>
      <x:c r="X38" s="308" t="str">
        <x:v>Activo</x:v>
      </x:c>
      <x:c r="Y38" s="308"/>
      <x:c r="Z38" s="308" t="str">
        <x:v>https://elpais.com/</x:v>
      </x:c>
      <x:c r="AA38" s="310" t="n">
        <x:v>46219</x:v>
      </x:c>
    </x:row>
    <x:row r="39">
      <x:c r="A39" s="309" t="n">
        <x:v>63</x:v>
      </x:c>
      <x:c r="B39" s="312" t="str">
        <x:v>Media Bias/Fact Check</x:v>
      </x:c>
      <x:c r="C39" s="313" t="str">
        <x:v>https://mediabiasfactcheck.com/</x:v>
      </x:c>
      <x:c r="D39" s="308" t="str">
        <x:v>Estados Unidos</x:v>
      </x:c>
      <x:c r="E39" s="308" t="str">
        <x:v>Global</x:v>
      </x:c>
      <x:c r="F39" s="308" t="str">
        <x:v>Inglés</x:v>
      </x:c>
      <x:c r="G39" s="308" t="str">
        <x:v>Observatorio de medios</x:v>
      </x:c>
      <x:c r="H39" s="308" t="str">
        <x:v>Guía secundaria sobre sesgo y factualidad</x:v>
      </x:c>
      <x:c r="I39" s="308" t="str">
        <x:v>Sitio privado</x:v>
      </x:c>
      <x:c r="J39" s="308" t="str">
        <x:v>Privado</x:v>
      </x:c>
      <x:c r="K39" s="308" t="str">
        <x:v>Centro</x:v>
      </x:c>
      <x:c r="L39" s="404" t="str">
        <x:v>Evaluación mediática estadounidense</x:v>
      </x:c>
      <x:c r="M39" s="309" t="n">
        <x:v>3</x:v>
      </x:c>
      <x:c r="N39" s="309" t="n">
        <x:v>3</x:v>
      </x:c>
      <x:c r="O39" s="309" t="n">
        <x:v>3</x:v>
      </x:c>
      <x:c r="P39" s="309" t="n">
        <x:v>3</x:v>
      </x:c>
      <x:c r="Q39" s="309" t="n">
        <x:v>3</x:v>
      </x:c>
      <x:c r="R39" s="309" t="n">
        <x:v>4</x:v>
      </x:c>
      <x:c r="S39" s="311" t="n">
        <x:v>3.2</x:v>
      </x:c>
      <x:c r="T39" s="309" t="str">
        <x:v>Media</x:v>
      </x:c>
      <x:c r="U39" s="308" t="str">
        <x:v>Orientación inicial; nunca árbitro único</x:v>
      </x:c>
      <x:c r="V39" s="308" t="str">
        <x:v>Alta</x:v>
      </x:c>
      <x:c r="W39" s="308" t="str">
        <x:v>NewsGuard, Ad Fontes, AllSides y análisis propio</x:v>
      </x:c>
      <x:c r="X39" s="308" t="str">
        <x:v>Secundario</x:v>
      </x:c>
      <x:c r="Y39" s="308" t="str">
        <x:v>La propia metodología reconoce que no es un método científico probado.</x:v>
      </x:c>
      <x:c r="Z39" s="308" t="str">
        <x:v>https://mediabiasfactcheck.com/methodology/</x:v>
      </x:c>
      <x:c r="AA39" s="310" t="n">
        <x:v>46219</x:v>
      </x:c>
    </x:row>
    <x:row r="40">
      <x:c r="A40" s="309" t="n">
        <x:v>41</x:v>
      </x:c>
      <x:c r="B40" s="312" t="str">
        <x:v>Sciences Po - CERI</x:v>
      </x:c>
      <x:c r="C40" s="313" t="str">
        <x:v>https://www.sciencespo.fr/ceri/en/</x:v>
      </x:c>
      <x:c r="D40" s="308" t="str">
        <x:v>Francia</x:v>
      </x:c>
      <x:c r="E40" s="308" t="str">
        <x:v>Europa/Global</x:v>
      </x:c>
      <x:c r="F40" s="308" t="str">
        <x:v>Francés/Inglés</x:v>
      </x:c>
      <x:c r="G40" s="308" t="str">
        <x:v>Centro académico</x:v>
      </x:c>
      <x:c r="H40" s="308" t="str">
        <x:v>Investigación en relaciones internacionales</x:v>
      </x:c>
      <x:c r="I40" s="308" t="str">
        <x:v>Académica</x:v>
      </x:c>
      <x:c r="J40" s="308" t="str">
        <x:v>Académico</x:v>
      </x:c>
      <x:c r="K40" s="308" t="str">
        <x:v>Plural</x:v>
      </x:c>
      <x:c r="L40" s="404" t="str">
        <x:v>Francesa / europea</x:v>
      </x:c>
      <x:c r="M40" s="309" t="n">
        <x:v>5</x:v>
      </x:c>
      <x:c r="N40" s="309" t="n">
        <x:v>5</x:v>
      </x:c>
      <x:c r="O40" s="309" t="n">
        <x:v>5</x:v>
      </x:c>
      <x:c r="P40" s="309" t="n">
        <x:v>5</x:v>
      </x:c>
      <x:c r="Q40" s="309" t="n">
        <x:v>4</x:v>
      </x:c>
      <x:c r="R40" s="309" t="n">
        <x:v>5</x:v>
      </x:c>
      <x:c r="S40" s="311" t="n">
        <x:v>4.8</x:v>
      </x:c>
      <x:c r="T40" s="309" t="str">
        <x:v>Alta</x:v>
      </x:c>
      <x:c r="U40" s="308" t="str">
        <x:v>Investigación académica y contexto histórico</x:v>
      </x:c>
      <x:c r="V40" s="308" t="str">
        <x:v>Baja a moderada</x:v>
      </x:c>
      <x:c r="W40" s="308" t="str">
        <x:v>Literatura académica y datos primarios</x:v>
      </x:c>
      <x:c r="X40" s="308" t="str">
        <x:v>Activo</x:v>
      </x:c>
      <x:c r="Y40" s="308"/>
      <x:c r="Z40" s="308" t="str">
        <x:v>https://www.sciencespo.fr/ceri/en/</x:v>
      </x:c>
      <x:c r="AA40" s="310" t="n">
        <x:v>46219</x:v>
      </x:c>
    </x:row>
    <x:row r="41">
      <x:c r="A41" s="309" t="n">
        <x:v>17</x:v>
      </x:c>
      <x:c r="B41" s="312" t="str">
        <x:v>France 24</x:v>
      </x:c>
      <x:c r="C41" s="313" t="str">
        <x:v>https://www.france24.com/</x:v>
      </x:c>
      <x:c r="D41" s="308" t="str">
        <x:v>Francia; alcance global</x:v>
      </x:c>
      <x:c r="E41" s="308" t="str">
        <x:v>Global/Occidente</x:v>
      </x:c>
      <x:c r="F41" s="308" t="str">
        <x:v>Francés, inglés, árabe, español</x:v>
      </x:c>
      <x:c r="G41" s="308" t="str">
        <x:v>Radiodifusor público internacional</x:v>
      </x:c>
      <x:c r="H41" s="308" t="str">
        <x:v>Noticias internacionales</x:v>
      </x:c>
      <x:c r="I41" s="308" t="str">
        <x:v>Financiación pública francesa</x:v>
      </x:c>
      <x:c r="J41" s="308" t="str">
        <x:v>Público</x:v>
      </x:c>
      <x:c r="K41" s="308" t="str">
        <x:v>Centro</x:v>
      </x:c>
      <x:c r="L41" s="404" t="str">
        <x:v>Francesa / europea</x:v>
      </x:c>
      <x:c r="M41" s="309" t="n">
        <x:v>4</x:v>
      </x:c>
      <x:c r="N41" s="309" t="n">
        <x:v>4</x:v>
      </x:c>
      <x:c r="O41" s="309" t="n">
        <x:v>5</x:v>
      </x:c>
      <x:c r="P41" s="309" t="n">
        <x:v>4</x:v>
      </x:c>
      <x:c r="Q41" s="309" t="n">
        <x:v>4</x:v>
      </x:c>
      <x:c r="R41" s="309" t="n">
        <x:v>5</x:v>
      </x:c>
      <x:c r="S41" s="311" t="n">
        <x:v>4.3</x:v>
      </x:c>
      <x:c r="T41" s="309" t="str">
        <x:v>Alta</x:v>
      </x:c>
      <x:c r="U41" s="308" t="str">
        <x:v>Europa, África y Medio Oriente</x:v>
      </x:c>
      <x:c r="V41" s="308" t="str">
        <x:v>Moderada</x:v>
      </x:c>
      <x:c r="W41" s="308" t="str">
        <x:v>Agencias y fuentes locales</x:v>
      </x:c>
      <x:c r="X41" s="308" t="str">
        <x:v>Nuevo recomendado</x:v>
      </x:c>
      <x:c r="Y41" s="308"/>
      <x:c r="Z41" s="308" t="str">
        <x:v>https://www.france24.com/</x:v>
      </x:c>
      <x:c r="AA41" s="310" t="n">
        <x:v>46219</x:v>
      </x:c>
    </x:row>
    <x:row r="42">
      <x:c r="A42" s="309" t="n">
        <x:v>12</x:v>
      </x:c>
      <x:c r="B42" s="312" t="str">
        <x:v>Associated Press (AP)</x:v>
      </x:c>
      <x:c r="C42" s="313" t="str">
        <x:v>https://apnews.com/</x:v>
      </x:c>
      <x:c r="D42" s="308" t="str">
        <x:v>Estados Unidos; red global</x:v>
      </x:c>
      <x:c r="E42" s="308" t="str">
        <x:v>Global</x:v>
      </x:c>
      <x:c r="F42" s="308" t="str">
        <x:v>Inglés</x:v>
      </x:c>
      <x:c r="G42" s="308" t="str">
        <x:v>Agencia de noticias</x:v>
      </x:c>
      <x:c r="H42" s="308" t="str">
        <x:v>Confirmación factual y noticias urgentes</x:v>
      </x:c>
      <x:c r="I42" s="308" t="str">
        <x:v>Cooperativa sin fines de lucro</x:v>
      </x:c>
      <x:c r="J42" s="308" t="str">
        <x:v>Cooperativo</x:v>
      </x:c>
      <x:c r="K42" s="308" t="str">
        <x:v>Centro / baja carga editorial</x:v>
      </x:c>
      <x:c r="L42" s="404" t="str">
        <x:v>Global</x:v>
      </x:c>
      <x:c r="M42" s="309" t="n">
        <x:v>5</x:v>
      </x:c>
      <x:c r="N42" s="309" t="n">
        <x:v>5</x:v>
      </x:c>
      <x:c r="O42" s="309" t="n">
        <x:v>5</x:v>
      </x:c>
      <x:c r="P42" s="309" t="n">
        <x:v>5</x:v>
      </x:c>
      <x:c r="Q42" s="309" t="n">
        <x:v>5</x:v>
      </x:c>
      <x:c r="R42" s="309" t="n">
        <x:v>5</x:v>
      </x:c>
      <x:c r="S42" s="311" t="n">
        <x:v>5</x:v>
      </x:c>
      <x:c r="T42" s="309" t="str">
        <x:v>Alta</x:v>
      </x:c>
      <x:c r="U42" s="308" t="str">
        <x:v>Fuente base para hechos y noticias urgentes</x:v>
      </x:c>
      <x:c r="V42" s="308" t="str">
        <x:v>Baja</x:v>
      </x:c>
      <x:c r="W42" s="308" t="str">
        <x:v>Reuters/AFP y fuentes primarias</x:v>
      </x:c>
      <x:c r="X42" s="308" t="str">
        <x:v>Nuevo recomendado</x:v>
      </x:c>
      <x:c r="Y42" s="308"/>
      <x:c r="Z42" s="308" t="str">
        <x:v>https://apnews.com/</x:v>
      </x:c>
      <x:c r="AA42" s="310" t="n">
        <x:v>46219</x:v>
      </x:c>
    </x:row>
    <x:row r="43">
      <x:c r="A43" s="309" t="n">
        <x:v>68</x:v>
      </x:c>
      <x:c r="B43" s="312" t="str">
        <x:v>ACLED</x:v>
      </x:c>
      <x:c r="C43" s="313" t="str">
        <x:v>https://acleddata.com/</x:v>
      </x:c>
      <x:c r="D43" s="308" t="str">
        <x:v>Organización internacional de datos</x:v>
      </x:c>
      <x:c r="E43" s="308" t="str">
        <x:v>Global</x:v>
      </x:c>
      <x:c r="F43" s="308" t="str">
        <x:v>Inglés</x:v>
      </x:c>
      <x:c r="G43" s="308" t="str">
        <x:v>Base de datos de conflictos</x:v>
      </x:c>
      <x:c r="H43" s="308" t="str">
        <x:v>Datos estructurados sobre violencia política</x:v>
      </x:c>
      <x:c r="I43" s="308" t="str">
        <x:v>Organización independiente</x:v>
      </x:c>
      <x:c r="J43" s="308" t="str">
        <x:v>ONG/datos</x:v>
      </x:c>
      <x:c r="K43" s="308" t="str">
        <x:v>Metodológica</x:v>
      </x:c>
      <x:c r="L43" s="404" t="str">
        <x:v>Global / conflicto</x:v>
      </x:c>
      <x:c r="M43" s="309" t="n">
        <x:v>5</x:v>
      </x:c>
      <x:c r="N43" s="309" t="n">
        <x:v>5</x:v>
      </x:c>
      <x:c r="O43" s="309" t="n">
        <x:v>5</x:v>
      </x:c>
      <x:c r="P43" s="309" t="n">
        <x:v>5</x:v>
      </x:c>
      <x:c r="Q43" s="309" t="n">
        <x:v>4</x:v>
      </x:c>
      <x:c r="R43" s="309" t="n">
        <x:v>5</x:v>
      </x:c>
      <x:c r="S43" s="311" t="n">
        <x:v>4.8</x:v>
      </x:c>
      <x:c r="T43" s="309" t="str">
        <x:v>Alta</x:v>
      </x:c>
      <x:c r="U43" s="308" t="str">
        <x:v>Datos de eventos, tendencias y mapas de conflicto</x:v>
      </x:c>
      <x:c r="V43" s="308" t="str">
        <x:v>Moderada</x:v>
      </x:c>
      <x:c r="W43" s="308" t="str">
        <x:v>ONU, prensa local y otras bases de datos</x:v>
      </x:c>
      <x:c r="X43" s="308" t="str">
        <x:v>Nuevo recomendado</x:v>
      </x:c>
      <x:c r="Y43" s="308"/>
      <x:c r="Z43" s="308" t="str">
        <x:v>https://acleddata.com/</x:v>
      </x:c>
      <x:c r="AA43" s="310" t="n">
        <x:v>46219</x:v>
      </x:c>
    </x:row>
    <x:row r="44">
      <x:c r="A44" s="309" t="n">
        <x:v>13</x:v>
      </x:c>
      <x:c r="B44" s="312" t="str">
        <x:v>Agence France-Presse (AFP)</x:v>
      </x:c>
      <x:c r="C44" s="313" t="str">
        <x:v>https://www.afp.com/</x:v>
      </x:c>
      <x:c r="D44" s="308" t="str">
        <x:v>Francia; red global</x:v>
      </x:c>
      <x:c r="E44" s="308" t="str">
        <x:v>Global</x:v>
      </x:c>
      <x:c r="F44" s="308" t="str">
        <x:v>Multilingüe</x:v>
      </x:c>
      <x:c r="G44" s="308" t="str">
        <x:v>Agencia de noticias</x:v>
      </x:c>
      <x:c r="H44" s="308" t="str">
        <x:v>Confirmación factual y noticias urgentes</x:v>
      </x:c>
      <x:c r="I44" s="308" t="str">
        <x:v>Agencia internacional con estatuto propio</x:v>
      </x:c>
      <x:c r="J44" s="308" t="str">
        <x:v>Institucional</x:v>
      </x:c>
      <x:c r="K44" s="308" t="str">
        <x:v>Centro / baja carga editorial</x:v>
      </x:c>
      <x:c r="L44" s="404" t="str">
        <x:v>Global / francesa</x:v>
      </x:c>
      <x:c r="M44" s="309" t="n">
        <x:v>5</x:v>
      </x:c>
      <x:c r="N44" s="309" t="n">
        <x:v>5</x:v>
      </x:c>
      <x:c r="O44" s="309" t="n">
        <x:v>5</x:v>
      </x:c>
      <x:c r="P44" s="309" t="n">
        <x:v>5</x:v>
      </x:c>
      <x:c r="Q44" s="309" t="n">
        <x:v>5</x:v>
      </x:c>
      <x:c r="R44" s="309" t="n">
        <x:v>5</x:v>
      </x:c>
      <x:c r="S44" s="311" t="n">
        <x:v>5</x:v>
      </x:c>
      <x:c r="T44" s="309" t="str">
        <x:v>Alta</x:v>
      </x:c>
      <x:c r="U44" s="308" t="str">
        <x:v>Fuente base para hechos y verificación visual</x:v>
      </x:c>
      <x:c r="V44" s="308" t="str">
        <x:v>Baja</x:v>
      </x:c>
      <x:c r="W44" s="308" t="str">
        <x:v>Reuters/AP y fuentes primarias</x:v>
      </x:c>
      <x:c r="X44" s="308" t="str">
        <x:v>Nuevo recomendado</x:v>
      </x:c>
      <x:c r="Y44" s="308"/>
      <x:c r="Z44" s="308" t="str">
        <x:v>https://www.afp.com/</x:v>
      </x:c>
      <x:c r="AA44" s="310" t="n">
        <x:v>46219</x:v>
      </x:c>
    </x:row>
    <x:row r="45">
      <x:c r="A45" s="309" t="n">
        <x:v>8</x:v>
      </x:c>
      <x:c r="B45" s="312" t="str">
        <x:v>Reuters</x:v>
      </x:c>
      <x:c r="C45" s="313" t="str">
        <x:v>https://www.reuters.com/</x:v>
      </x:c>
      <x:c r="D45" s="308" t="str">
        <x:v>Reino Unido; red global</x:v>
      </x:c>
      <x:c r="E45" s="308" t="str">
        <x:v>Global</x:v>
      </x:c>
      <x:c r="F45" s="308" t="str">
        <x:v>Multilingüe</x:v>
      </x:c>
      <x:c r="G45" s="308" t="str">
        <x:v>Agencia de noticias</x:v>
      </x:c>
      <x:c r="H45" s="308" t="str">
        <x:v>Confirmación factual y noticias urgentes</x:v>
      </x:c>
      <x:c r="I45" s="308" t="str">
        <x:v>Privado comercial</x:v>
      </x:c>
      <x:c r="J45" s="308" t="str">
        <x:v>Privado</x:v>
      </x:c>
      <x:c r="K45" s="308" t="str">
        <x:v>Centro / baja carga editorial</x:v>
      </x:c>
      <x:c r="L45" s="404" t="str">
        <x:v>Global / mercados</x:v>
      </x:c>
      <x:c r="M45" s="309" t="n">
        <x:v>5</x:v>
      </x:c>
      <x:c r="N45" s="309" t="n">
        <x:v>5</x:v>
      </x:c>
      <x:c r="O45" s="309" t="n">
        <x:v>5</x:v>
      </x:c>
      <x:c r="P45" s="309" t="n">
        <x:v>5</x:v>
      </x:c>
      <x:c r="Q45" s="309" t="n">
        <x:v>5</x:v>
      </x:c>
      <x:c r="R45" s="309" t="n">
        <x:v>5</x:v>
      </x:c>
      <x:c r="S45" s="311" t="n">
        <x:v>5</x:v>
      </x:c>
      <x:c r="T45" s="309" t="str">
        <x:v>Alta</x:v>
      </x:c>
      <x:c r="U45" s="308" t="str">
        <x:v>Fuente base para hechos y noticias urgentes</x:v>
      </x:c>
      <x:c r="V45" s="308" t="str">
        <x:v>Baja</x:v>
      </x:c>
      <x:c r="W45" s="308" t="str">
        <x:v>AP/AFP y fuentes primarias cuando el asunto sea crítico</x:v>
      </x:c>
      <x:c r="X45" s="308" t="str">
        <x:v>Activo</x:v>
      </x:c>
      <x:c r="Y45" s="308" t="str">
        <x:v>Referencia principal de la matriz para confirmación factual.</x:v>
      </x:c>
      <x:c r="Z45" s="308" t="str">
        <x:v>https://www.thomsonreuters.com/en/about-us/trust-principles.html</x:v>
      </x:c>
      <x:c r="AA45" s="310" t="n">
        <x:v>46219</x:v>
      </x:c>
    </x:row>
    <x:row r="46">
      <x:c r="A46" s="309" t="n">
        <x:v>15</x:v>
      </x:c>
      <x:c r="B46" s="312" t="str">
        <x:v>Financial Times</x:v>
      </x:c>
      <x:c r="C46" s="313" t="str">
        <x:v>https://www.ft.com/</x:v>
      </x:c>
      <x:c r="D46" s="308" t="str">
        <x:v>Reino Unido; alcance global</x:v>
      </x:c>
      <x:c r="E46" s="308" t="str">
        <x:v>Global/Occidente</x:v>
      </x:c>
      <x:c r="F46" s="308" t="str">
        <x:v>Inglés</x:v>
      </x:c>
      <x:c r="G46" s="308" t="str">
        <x:v>Medio financiero</x:v>
      </x:c>
      <x:c r="H46" s="308" t="str">
        <x:v>Economía, empresas y geopolítica</x:v>
      </x:c>
      <x:c r="I46" s="308" t="str">
        <x:v>Privado comercial</x:v>
      </x:c>
      <x:c r="J46" s="308" t="str">
        <x:v>Privado</x:v>
      </x:c>
      <x:c r="K46" s="308" t="str">
        <x:v>Centro liberal</x:v>
      </x:c>
      <x:c r="L46" s="404" t="str">
        <x:v>Global / promercado / europeísta</x:v>
      </x:c>
      <x:c r="M46" s="309" t="n">
        <x:v>5</x:v>
      </x:c>
      <x:c r="N46" s="309" t="n">
        <x:v>4</x:v>
      </x:c>
      <x:c r="O46" s="309" t="n">
        <x:v>4</x:v>
      </x:c>
      <x:c r="P46" s="309" t="n">
        <x:v>5</x:v>
      </x:c>
      <x:c r="Q46" s="309" t="n">
        <x:v>5</x:v>
      </x:c>
      <x:c r="R46" s="309" t="n">
        <x:v>4</x:v>
      </x:c>
      <x:c r="S46" s="311" t="n">
        <x:v>4.5</x:v>
      </x:c>
      <x:c r="T46" s="309" t="str">
        <x:v>Alta</x:v>
      </x:c>
      <x:c r="U46" s="308" t="str">
        <x:v>Geoeconomía, comercio y estrategia empresarial</x:v>
      </x:c>
      <x:c r="V46" s="308" t="str">
        <x:v>Moderada</x:v>
      </x:c>
      <x:c r="W46" s="308" t="str">
        <x:v>Reuters, Bloomberg y documentos oficiales</x:v>
      </x:c>
      <x:c r="X46" s="308" t="str">
        <x:v>Nuevo recomendado</x:v>
      </x:c>
      <x:c r="Y46" s="308"/>
      <x:c r="Z46" s="308" t="str">
        <x:v>https://www.ft.com/</x:v>
      </x:c>
      <x:c r="AA46" s="310" t="n">
        <x:v>46219</x:v>
      </x:c>
    </x:row>
    <x:row r="47">
      <x:c r="A47" s="309" t="n">
        <x:v>53</x:v>
      </x:c>
      <x:c r="B47" s="312" t="str">
        <x:v>South China Morning Post</x:v>
      </x:c>
      <x:c r="C47" s="313" t="str">
        <x:v>https://www.scmp.com/</x:v>
      </x:c>
      <x:c r="D47" s="308" t="str">
        <x:v>Hong Kong</x:v>
      </x:c>
      <x:c r="E47" s="308" t="str">
        <x:v>Asia</x:v>
      </x:c>
      <x:c r="F47" s="308" t="str">
        <x:v>Inglés/Chino</x:v>
      </x:c>
      <x:c r="G47" s="308" t="str">
        <x:v>Medio regional</x:v>
      </x:c>
      <x:c r="H47" s="308" t="str">
        <x:v>Noticias de China y Asia</x:v>
      </x:c>
      <x:c r="I47" s="308" t="str">
        <x:v>Privado comercial</x:v>
      </x:c>
      <x:c r="J47" s="308" t="str">
        <x:v>Privado</x:v>
      </x:c>
      <x:c r="K47" s="308" t="str">
        <x:v>Centro; sensibilidad al entorno chino</x:v>
      </x:c>
      <x:c r="L47" s="404" t="str">
        <x:v>Hong Kong / China</x:v>
      </x:c>
      <x:c r="M47" s="309" t="n">
        <x:v>4</x:v>
      </x:c>
      <x:c r="N47" s="309" t="n">
        <x:v>3</x:v>
      </x:c>
      <x:c r="O47" s="309" t="n">
        <x:v>3</x:v>
      </x:c>
      <x:c r="P47" s="309" t="n">
        <x:v>4</x:v>
      </x:c>
      <x:c r="Q47" s="309" t="n">
        <x:v>4</x:v>
      </x:c>
      <x:c r="R47" s="309" t="n">
        <x:v>4</x:v>
      </x:c>
      <x:c r="S47" s="311" t="n">
        <x:v>3.7</x:v>
      </x:c>
      <x:c r="T47" s="309" t="str">
        <x:v>Media-alta</x:v>
      </x:c>
      <x:c r="U47" s="308" t="str">
        <x:v>China, Hong Kong y Asia</x:v>
      </x:c>
      <x:c r="V47" s="308" t="str">
        <x:v>Moderada-alta</x:v>
      </x:c>
      <x:c r="W47" s="308" t="str">
        <x:v>Reuters, Nikkei, Caixin y medios internacionales</x:v>
      </x:c>
      <x:c r="X47" s="308" t="str">
        <x:v>Nuevo recomendado</x:v>
      </x:c>
      <x:c r="Y47" s="308"/>
      <x:c r="Z47" s="308" t="str">
        <x:v>https://www.scmp.com/</x:v>
      </x:c>
      <x:c r="AA47" s="310" t="n">
        <x:v>46219</x:v>
      </x:c>
    </x:row>
    <x:row r="48">
      <x:c r="A48" s="309" t="n">
        <x:v>54</x:v>
      </x:c>
      <x:c r="B48" s="312" t="str">
        <x:v>The Hindu</x:v>
      </x:c>
      <x:c r="C48" s="313" t="str">
        <x:v>https://www.thehindu.com/</x:v>
      </x:c>
      <x:c r="D48" s="308" t="str">
        <x:v>India</x:v>
      </x:c>
      <x:c r="E48" s="308" t="str">
        <x:v>Asia</x:v>
      </x:c>
      <x:c r="F48" s="308" t="str">
        <x:v>Inglés</x:v>
      </x:c>
      <x:c r="G48" s="308" t="str">
        <x:v>Medio generalista</x:v>
      </x:c>
      <x:c r="H48" s="308" t="str">
        <x:v>Noticias y análisis</x:v>
      </x:c>
      <x:c r="I48" s="308" t="str">
        <x:v>Privado comercial</x:v>
      </x:c>
      <x:c r="J48" s="308" t="str">
        <x:v>Privado</x:v>
      </x:c>
      <x:c r="K48" s="308" t="str">
        <x:v>Centro-izquierda / institucional</x:v>
      </x:c>
      <x:c r="L48" s="404" t="str">
        <x:v>India</x:v>
      </x:c>
      <x:c r="M48" s="309" t="n">
        <x:v>4</x:v>
      </x:c>
      <x:c r="N48" s="309" t="n">
        <x:v>4</x:v>
      </x:c>
      <x:c r="O48" s="309" t="n">
        <x:v>4</x:v>
      </x:c>
      <x:c r="P48" s="309" t="n">
        <x:v>4</x:v>
      </x:c>
      <x:c r="Q48" s="309" t="n">
        <x:v>4</x:v>
      </x:c>
      <x:c r="R48" s="309" t="n">
        <x:v>4</x:v>
      </x:c>
      <x:c r="S48" s="311" t="n">
        <x:v>4</x:v>
      </x:c>
      <x:c r="T48" s="309" t="str">
        <x:v>Media-alta</x:v>
      </x:c>
      <x:c r="U48" s="308" t="str">
        <x:v>India y Asia del Sur</x:v>
      </x:c>
      <x:c r="V48" s="308" t="str">
        <x:v>Moderada</x:v>
      </x:c>
      <x:c r="W48" s="308" t="str">
        <x:v>Reuters, PTI y medios regionales</x:v>
      </x:c>
      <x:c r="X48" s="308" t="str">
        <x:v>Nuevo recomendado</x:v>
      </x:c>
      <x:c r="Y48" s="308"/>
      <x:c r="Z48" s="308" t="str">
        <x:v>https://www.thehindu.com/</x:v>
      </x:c>
      <x:c r="AA48" s="310" t="n">
        <x:v>46219</x:v>
      </x:c>
    </x:row>
    <x:row r="49">
      <x:c r="A49" s="309" t="n">
        <x:v>73</x:v>
      </x:c>
      <x:c r="B49" s="312" t="str">
        <x:v>Press Gazette</x:v>
      </x:c>
      <x:c r="C49" s="313" t="str">
        <x:v>https://pressgazette.co.uk/</x:v>
      </x:c>
      <x:c r="D49" s="308" t="str">
        <x:v>Reino Unido</x:v>
      </x:c>
      <x:c r="E49" s="308" t="str">
        <x:v>Occidente</x:v>
      </x:c>
      <x:c r="F49" s="308" t="str">
        <x:v>Inglés</x:v>
      </x:c>
      <x:c r="G49" s="308" t="str">
        <x:v>Publicación profesional</x:v>
      </x:c>
      <x:c r="H49" s="308" t="str">
        <x:v>Industria periodística y medios</x:v>
      </x:c>
      <x:c r="I49" s="308" t="str">
        <x:v>Privado comercial</x:v>
      </x:c>
      <x:c r="J49" s="308" t="str">
        <x:v>Privado</x:v>
      </x:c>
      <x:c r="K49" s="308" t="str">
        <x:v>Sectorial</x:v>
      </x:c>
      <x:c r="L49" s="404" t="str">
        <x:v>Industria mediática británica</x:v>
      </x:c>
      <x:c r="M49" s="309" t="n">
        <x:v>4</x:v>
      </x:c>
      <x:c r="N49" s="309" t="n">
        <x:v>4</x:v>
      </x:c>
      <x:c r="O49" s="309" t="n">
        <x:v>4</x:v>
      </x:c>
      <x:c r="P49" s="309" t="n">
        <x:v>4</x:v>
      </x:c>
      <x:c r="Q49" s="309" t="n">
        <x:v>4</x:v>
      </x:c>
      <x:c r="R49" s="309" t="n">
        <x:v>5</x:v>
      </x:c>
      <x:c r="S49" s="311" t="n">
        <x:v>4.2</x:v>
      </x:c>
      <x:c r="T49" s="309" t="str">
        <x:v>Media-alta</x:v>
      </x:c>
      <x:c r="U49" s="308" t="str">
        <x:v>Propiedad de medios, tendencias y libertad de prensa</x:v>
      </x:c>
      <x:c r="V49" s="308" t="str">
        <x:v>Moderada</x:v>
      </x:c>
      <x:c r="W49" s="308" t="str">
        <x:v>Documentos corporativos y reguladores</x:v>
      </x:c>
      <x:c r="X49" s="308" t="str">
        <x:v>Secundario</x:v>
      </x:c>
      <x:c r="Y49" s="308" t="str">
        <x:v>No es fuente directa para hechos geopolíticos.</x:v>
      </x:c>
      <x:c r="Z49" s="308" t="str">
        <x:v>https://pressgazette.co.uk/</x:v>
      </x:c>
      <x:c r="AA49" s="310" t="n">
        <x:v>46219</x:v>
      </x:c>
    </x:row>
    <x:row r="50">
      <x:c r="A50" s="309" t="n">
        <x:v>20</x:v>
      </x:c>
      <x:c r="B50" s="312" t="str">
        <x:v>Channel 13 (Israel)</x:v>
      </x:c>
      <x:c r="C50" s="313" t="str">
        <x:v>https://13tv.co.il/</x:v>
      </x:c>
      <x:c r="D50" s="308" t="str">
        <x:v>Israel</x:v>
      </x:c>
      <x:c r="E50" s="308" t="str">
        <x:v>Medio Oriente</x:v>
      </x:c>
      <x:c r="F50" s="308" t="str">
        <x:v>Hebreo</x:v>
      </x:c>
      <x:c r="G50" s="308" t="str">
        <x:v>Televisión comercial</x:v>
      </x:c>
      <x:c r="H50" s="308" t="str">
        <x:v>Noticias nacionales</x:v>
      </x:c>
      <x:c r="I50" s="308" t="str">
        <x:v>Privado comercial</x:v>
      </x:c>
      <x:c r="J50" s="308" t="str">
        <x:v>Privado</x:v>
      </x:c>
      <x:c r="K50" s="308" t="str">
        <x:v>Centro; variable por programa</x:v>
      </x:c>
      <x:c r="L50" s="404" t="str">
        <x:v>Israelí</x:v>
      </x:c>
      <x:c r="M50" s="309" t="n">
        <x:v>4</x:v>
      </x:c>
      <x:c r="N50" s="309" t="n">
        <x:v>4</x:v>
      </x:c>
      <x:c r="O50" s="309" t="n">
        <x:v>3</x:v>
      </x:c>
      <x:c r="P50" s="309" t="n">
        <x:v>4</x:v>
      </x:c>
      <x:c r="Q50" s="309" t="n">
        <x:v>4</x:v>
      </x:c>
      <x:c r="R50" s="309" t="n">
        <x:v>3</x:v>
      </x:c>
      <x:c r="S50" s="311" t="n">
        <x:v>3.7</x:v>
      </x:c>
      <x:c r="T50" s="309" t="str">
        <x:v>Media-alta</x:v>
      </x:c>
      <x:c r="U50" s="308" t="str">
        <x:v>Actualidad y debate político israelí</x:v>
      </x:c>
      <x:c r="V50" s="308" t="str">
        <x:v>Moderada</x:v>
      </x:c>
      <x:c r="W50" s="308" t="str">
        <x:v>Kan, N12, Haaretz, TOI y fuentes oficiales</x:v>
      </x:c>
      <x:c r="X50" s="308" t="str">
        <x:v>Activo</x:v>
      </x:c>
      <x:c r="Y50" s="308"/>
      <x:c r="Z50" s="308" t="str">
        <x:v>https://13tv.co.il/</x:v>
      </x:c>
      <x:c r="AA50" s="310" t="n">
        <x:v>46219</x:v>
      </x:c>
    </x:row>
    <x:row r="51">
      <x:c r="A51" s="309" t="n">
        <x:v>26</x:v>
      </x:c>
      <x:c r="B51" s="312" t="str">
        <x:v>Maariv</x:v>
      </x:c>
      <x:c r="C51" s="313" t="str">
        <x:v>https://www.maariv.co.il/</x:v>
      </x:c>
      <x:c r="D51" s="308" t="str">
        <x:v>Israel</x:v>
      </x:c>
      <x:c r="E51" s="308" t="str">
        <x:v>Medio Oriente</x:v>
      </x:c>
      <x:c r="F51" s="308" t="str">
        <x:v>Hebreo</x:v>
      </x:c>
      <x:c r="G51" s="308" t="str">
        <x:v>Medio generalista</x:v>
      </x:c>
      <x:c r="H51" s="308" t="str">
        <x:v>Noticias y opinión</x:v>
      </x:c>
      <x:c r="I51" s="308" t="str">
        <x:v>Privado comercial</x:v>
      </x:c>
      <x:c r="J51" s="308" t="str">
        <x:v>Privado</x:v>
      </x:c>
      <x:c r="K51" s="308" t="str">
        <x:v>Centro-derecha</x:v>
      </x:c>
      <x:c r="L51" s="404" t="str">
        <x:v>Israelí</x:v>
      </x:c>
      <x:c r="M51" s="309" t="n">
        <x:v>4</x:v>
      </x:c>
      <x:c r="N51" s="309" t="n">
        <x:v>3</x:v>
      </x:c>
      <x:c r="O51" s="309" t="n">
        <x:v>3</x:v>
      </x:c>
      <x:c r="P51" s="309" t="n">
        <x:v>3</x:v>
      </x:c>
      <x:c r="Q51" s="309" t="n">
        <x:v>3</x:v>
      </x:c>
      <x:c r="R51" s="309" t="n">
        <x:v>3</x:v>
      </x:c>
      <x:c r="S51" s="311" t="n">
        <x:v>3.2</x:v>
      </x:c>
      <x:c r="T51" s="309" t="str">
        <x:v>Media</x:v>
      </x:c>
      <x:c r="U51" s="308" t="str">
        <x:v>Política y sociedad israelí</x:v>
      </x:c>
      <x:c r="V51" s="308" t="str">
        <x:v>Moderada</x:v>
      </x:c>
      <x:c r="W51" s="308" t="str">
        <x:v>Kan, Haaretz, Ynet y fuentes oficiales</x:v>
      </x:c>
      <x:c r="X51" s="308" t="str">
        <x:v>Activo</x:v>
      </x:c>
      <x:c r="Y51" s="308"/>
      <x:c r="Z51" s="308" t="str">
        <x:v>https://www.maariv.co.il/</x:v>
      </x:c>
      <x:c r="AA51" s="310" t="n">
        <x:v>46219</x:v>
      </x:c>
    </x:row>
    <x:row r="52">
      <x:c r="A52" s="309" t="n">
        <x:v>27</x:v>
      </x:c>
      <x:c r="B52" s="312" t="str">
        <x:v>N12 (Israel)</x:v>
      </x:c>
      <x:c r="C52" s="313" t="str">
        <x:v>https://www.n12.co.il/</x:v>
      </x:c>
      <x:c r="D52" s="308" t="str">
        <x:v>Israel</x:v>
      </x:c>
      <x:c r="E52" s="308" t="str">
        <x:v>Medio Oriente</x:v>
      </x:c>
      <x:c r="F52" s="308" t="str">
        <x:v>Hebreo</x:v>
      </x:c>
      <x:c r="G52" s="308" t="str">
        <x:v>Portal de noticias de televisión</x:v>
      </x:c>
      <x:c r="H52" s="308" t="str">
        <x:v>Noticias nacionales y breaking news</x:v>
      </x:c>
      <x:c r="I52" s="308" t="str">
        <x:v>Privado comercial</x:v>
      </x:c>
      <x:c r="J52" s="308" t="str">
        <x:v>Privado</x:v>
      </x:c>
      <x:c r="K52" s="308" t="str">
        <x:v>Centro; variable por programa</x:v>
      </x:c>
      <x:c r="L52" s="404" t="str">
        <x:v>Israelí</x:v>
      </x:c>
      <x:c r="M52" s="309" t="n">
        <x:v>4</x:v>
      </x:c>
      <x:c r="N52" s="309" t="n">
        <x:v>3</x:v>
      </x:c>
      <x:c r="O52" s="309" t="n">
        <x:v>3</x:v>
      </x:c>
      <x:c r="P52" s="309" t="n">
        <x:v>4</x:v>
      </x:c>
      <x:c r="Q52" s="309" t="n">
        <x:v>4</x:v>
      </x:c>
      <x:c r="R52" s="309" t="n">
        <x:v>3</x:v>
      </x:c>
      <x:c r="S52" s="311" t="n">
        <x:v>3.5</x:v>
      </x:c>
      <x:c r="T52" s="309" t="str">
        <x:v>Media-alta</x:v>
      </x:c>
      <x:c r="U52" s="308" t="str">
        <x:v>Noticias urgentes y política israelí</x:v>
      </x:c>
      <x:c r="V52" s="308" t="str">
        <x:v>Moderada</x:v>
      </x:c>
      <x:c r="W52" s="308" t="str">
        <x:v>Kan, Channel 13 y documentos oficiales</x:v>
      </x:c>
      <x:c r="X52" s="308" t="str">
        <x:v>Activo</x:v>
      </x:c>
      <x:c r="Y52" s="308"/>
      <x:c r="Z52" s="308" t="str">
        <x:v>https://www.n12.co.il/</x:v>
      </x:c>
      <x:c r="AA52" s="310" t="n">
        <x:v>46219</x:v>
      </x:c>
    </x:row>
    <x:row r="53">
      <x:c r="A53" s="309" t="n">
        <x:v>29</x:v>
      </x:c>
      <x:c r="B53" s="312" t="str">
        <x:v>Ynet</x:v>
      </x:c>
      <x:c r="C53" s="313" t="str">
        <x:v>https://www.ynetnews.com/</x:v>
      </x:c>
      <x:c r="D53" s="308" t="str">
        <x:v>Israel</x:v>
      </x:c>
      <x:c r="E53" s="308" t="str">
        <x:v>Medio Oriente</x:v>
      </x:c>
      <x:c r="F53" s="308" t="str">
        <x:v>Hebreo/Inglés</x:v>
      </x:c>
      <x:c r="G53" s="308" t="str">
        <x:v>Portal generalista</x:v>
      </x:c>
      <x:c r="H53" s="308" t="str">
        <x:v>Noticias nacionales y opinión</x:v>
      </x:c>
      <x:c r="I53" s="308" t="str">
        <x:v>Privado comercial</x:v>
      </x:c>
      <x:c r="J53" s="308" t="str">
        <x:v>Privado</x:v>
      </x:c>
      <x:c r="K53" s="308" t="str">
        <x:v>Centro</x:v>
      </x:c>
      <x:c r="L53" s="404" t="str">
        <x:v>Israelí</x:v>
      </x:c>
      <x:c r="M53" s="309" t="n">
        <x:v>4</x:v>
      </x:c>
      <x:c r="N53" s="309" t="n">
        <x:v>3</x:v>
      </x:c>
      <x:c r="O53" s="309" t="n">
        <x:v>3</x:v>
      </x:c>
      <x:c r="P53" s="309" t="n">
        <x:v>4</x:v>
      </x:c>
      <x:c r="Q53" s="309" t="n">
        <x:v>3</x:v>
      </x:c>
      <x:c r="R53" s="309" t="n">
        <x:v>3</x:v>
      </x:c>
      <x:c r="S53" s="311" t="n">
        <x:v>3.3</x:v>
      </x:c>
      <x:c r="T53" s="309" t="str">
        <x:v>Media</x:v>
      </x:c>
      <x:c r="U53" s="308" t="str">
        <x:v>Actualidad israelí de amplio alcance</x:v>
      </x:c>
      <x:c r="V53" s="308" t="str">
        <x:v>Moderada</x:v>
      </x:c>
      <x:c r="W53" s="308" t="str">
        <x:v>Kan, N12, Haaretz y fuentes oficiales</x:v>
      </x:c>
      <x:c r="X53" s="308" t="str">
        <x:v>Activo</x:v>
      </x:c>
      <x:c r="Y53" s="308"/>
      <x:c r="Z53" s="308" t="str">
        <x:v>https://www.ynetnews.com/</x:v>
      </x:c>
      <x:c r="AA53" s="310" t="n">
        <x:v>46219</x:v>
      </x:c>
    </x:row>
    <x:row r="54">
      <x:c r="A54" s="309" t="n">
        <x:v>74</x:v>
      </x:c>
      <x:c r="B54" s="312" t="str">
        <x:v>Shakuf — שקוף</x:v>
      </x:c>
      <x:c r="C54" s="313" t="str">
        <x:v>https://shakuf.co.il/</x:v>
      </x:c>
      <x:c r="D54" s="308" t="str">
        <x:v>Israel</x:v>
      </x:c>
      <x:c r="E54" s="308" t="str">
        <x:v>Medio Oriente</x:v>
      </x:c>
      <x:c r="F54" s="308" t="str">
        <x:v>Hebreo; páginas informativas en inglés y árabe</x:v>
      </x:c>
      <x:c r="G54" s="308" t="str">
        <x:v>Medio independiente / watchdog</x:v>
      </x:c>
      <x:c r="H54" s="308" t="str">
        <x:v>Periodismo de investigación, transparencia y fiscalización del poder</x:v>
      </x:c>
      <x:c r="I54" s="308" t="str">
        <x:v>Financiación directa del público; sin publicidad ni financiación gubernamental declarada</x:v>
      </x:c>
      <x:c r="J54" s="308" t="str">
        <x:v>Propiedad pública-comunitaria / independiente</x:v>
      </x:c>
      <x:c r="K54" s="308" t="str">
        <x:v>No partidista declarado; enfoque de transparencia</x:v>
      </x:c>
      <x:c r="L54" s="404" t="str">
        <x:v>Israelí / democracia, rendición de cuentas y anticorrupción</x:v>
      </x:c>
      <x:c r="M54" s="309" t="n">
        <x:v>4</x:v>
      </x:c>
      <x:c r="N54" s="309" t="n">
        <x:v>5</x:v>
      </x:c>
      <x:c r="O54" s="309" t="n">
        <x:v>5</x:v>
      </x:c>
      <x:c r="P54" s="309" t="n">
        <x:v>4</x:v>
      </x:c>
      <x:c r="Q54" s="309" t="n">
        <x:v>4</x:v>
      </x:c>
      <x:c r="R54" s="309" t="n">
        <x:v>5</x:v>
      </x:c>
      <x:c r="S54" s="311" t="n">
        <x:v>4.5</x:v>
      </x:c>
      <x:c r="T54" s="309" t="str">
        <x:v>Alta</x:v>
      </x:c>
      <x:c r="U54" s="308" t="str">
        <x:v>Investigación sobre corrupción, toma de decisiones, lobbies, medioambiente y economía en Israel</x:v>
      </x:c>
      <x:c r="V54" s="308" t="str">
        <x:v>Moderada</x:v>
      </x:c>
      <x:c r="W54" s="308" t="str">
        <x:v>Documentos originales, Kan, The Seventh Eye, Ha-Makom y otras fuentes israelíes</x:v>
      </x:c>
      <x:c r="X54" s="308" t="str">
        <x:v>Activo</x:v>
      </x:c>
      <x:c r="Y54" s="308" t="str">
        <x:v>Corregido el dominio. Shakuf declara estar financiado íntegramente por el público, sin anuncios, magnates, fundaciones ni financiación gubernamental; debe evaluarse como medio de investigación y watchdog, no como empresa comercial.</x:v>
      </x:c>
      <x:c r="Z54" s="308" t="str">
        <x:v>https://shakuf.co.il/english</x:v>
      </x:c>
      <x:c r="AA54" s="310" t="n">
        <x:v>46219</x:v>
      </x:c>
    </x:row>
    <x:row r="55">
      <x:c r="A55" s="309" t="n">
        <x:v>22</x:v>
      </x:c>
      <x:c r="B55" s="312" t="str">
        <x:v>Ha-Makom</x:v>
      </x:c>
      <x:c r="C55" s="313" t="str">
        <x:v>https://www.ha-makom.co.il/</x:v>
      </x:c>
      <x:c r="D55" s="308" t="str">
        <x:v>Israel</x:v>
      </x:c>
      <x:c r="E55" s="308" t="str">
        <x:v>Medio Oriente</x:v>
      </x:c>
      <x:c r="F55" s="308" t="str">
        <x:v>Hebreo</x:v>
      </x:c>
      <x:c r="G55" s="308" t="str">
        <x:v>Investigación / medio crítico</x:v>
      </x:c>
      <x:c r="H55" s="308" t="str">
        <x:v>Reportajes e investigación</x:v>
      </x:c>
      <x:c r="I55" s="308" t="str">
        <x:v>Independiente</x:v>
      </x:c>
      <x:c r="J55" s="308" t="str">
        <x:v>Independiente</x:v>
      </x:c>
      <x:c r="K55" s="308" t="str">
        <x:v>Izquierda crítica</x:v>
      </x:c>
      <x:c r="L55" s="404" t="str">
        <x:v>Israelí / derechos civiles</x:v>
      </x:c>
      <x:c r="M55" s="309" t="n">
        <x:v>4</x:v>
      </x:c>
      <x:c r="N55" s="309" t="n">
        <x:v>4</x:v>
      </x:c>
      <x:c r="O55" s="309" t="n">
        <x:v>3</x:v>
      </x:c>
      <x:c r="P55" s="309" t="n">
        <x:v>4</x:v>
      </x:c>
      <x:c r="Q55" s="309" t="n">
        <x:v>3</x:v>
      </x:c>
      <x:c r="R55" s="309" t="n">
        <x:v>4</x:v>
      </x:c>
      <x:c r="S55" s="311" t="n">
        <x:v>3.7</x:v>
      </x:c>
      <x:c r="T55" s="309" t="str">
        <x:v>Media-alta</x:v>
      </x:c>
      <x:c r="U55" s="308" t="str">
        <x:v>Investigación social y política israelí</x:v>
      </x:c>
      <x:c r="V55" s="308" t="str">
        <x:v>Moderada</x:v>
      </x:c>
      <x:c r="W55" s="308" t="str">
        <x:v>Documentos, medios nacionales y fuentes de signo distinto</x:v>
      </x:c>
      <x:c r="X55" s="308" t="str">
        <x:v>Activo</x:v>
      </x:c>
      <x:c r="Y55" s="308" t="str">
        <x:v>Reubicado fuera de la categoría mainstream.</x:v>
      </x:c>
      <x:c r="Z55" s="308" t="str">
        <x:v>https://www.ha-makom.co.il/</x:v>
      </x:c>
      <x:c r="AA55" s="310" t="n">
        <x:v>46219</x:v>
      </x:c>
    </x:row>
    <x:row r="56">
      <x:c r="A56" s="309" t="n">
        <x:v>28</x:v>
      </x:c>
      <x:c r="B56" s="312" t="str">
        <x:v>The Times of Israel</x:v>
      </x:c>
      <x:c r="C56" s="313" t="str">
        <x:v>https://www.timesofisrael.com/</x:v>
      </x:c>
      <x:c r="D56" s="308" t="str">
        <x:v>Israel; alcance internacional</x:v>
      </x:c>
      <x:c r="E56" s="308" t="str">
        <x:v>Medio Oriente</x:v>
      </x:c>
      <x:c r="F56" s="308" t="str">
        <x:v>Inglés/Hebreo/Árabe</x:v>
      </x:c>
      <x:c r="G56" s="308" t="str">
        <x:v>Medio digital generalista</x:v>
      </x:c>
      <x:c r="H56" s="308" t="str">
        <x:v>Noticias y análisis</x:v>
      </x:c>
      <x:c r="I56" s="308" t="str">
        <x:v>Privado/independiente</x:v>
      </x:c>
      <x:c r="J56" s="308" t="str">
        <x:v>Privado</x:v>
      </x:c>
      <x:c r="K56" s="308" t="str">
        <x:v>Centro liberal</x:v>
      </x:c>
      <x:c r="L56" s="404" t="str">
        <x:v>Israelí / diáspora judía</x:v>
      </x:c>
      <x:c r="M56" s="309" t="n">
        <x:v>4</x:v>
      </x:c>
      <x:c r="N56" s="309" t="n">
        <x:v>4</x:v>
      </x:c>
      <x:c r="O56" s="309" t="n">
        <x:v>4</x:v>
      </x:c>
      <x:c r="P56" s="309" t="n">
        <x:v>4</x:v>
      </x:c>
      <x:c r="Q56" s="309" t="n">
        <x:v>4</x:v>
      </x:c>
      <x:c r="R56" s="309" t="n">
        <x:v>4</x:v>
      </x:c>
      <x:c r="S56" s="311" t="n">
        <x:v>4</x:v>
      </x:c>
      <x:c r="T56" s="309" t="str">
        <x:v>Media-alta</x:v>
      </x:c>
      <x:c r="U56" s="308" t="str">
        <x:v>Israel y Medio Oriente para audiencia internacional</x:v>
      </x:c>
      <x:c r="V56" s="308" t="str">
        <x:v>Moderada</x:v>
      </x:c>
      <x:c r="W56" s="308" t="str">
        <x:v>Reuters, Kan, medios árabes y documentos</x:v>
      </x:c>
      <x:c r="X56" s="308" t="str">
        <x:v>Activo</x:v>
      </x:c>
      <x:c r="Y56" s="308"/>
      <x:c r="Z56" s="308" t="str">
        <x:v>https://www.timesofisrael.com/</x:v>
      </x:c>
      <x:c r="AA56" s="310" t="n">
        <x:v>46219</x:v>
      </x:c>
    </x:row>
    <x:row r="57">
      <x:c r="A57" s="309" t="n">
        <x:v>65</x:v>
      </x:c>
      <x:c r="B57" s="312" t="str">
        <x:v>The Seventh Eye</x:v>
      </x:c>
      <x:c r="C57" s="313" t="str">
        <x:v>https://www.the7eye.org.il/</x:v>
      </x:c>
      <x:c r="D57" s="308" t="str">
        <x:v>Israel</x:v>
      </x:c>
      <x:c r="E57" s="308" t="str">
        <x:v>Medio Oriente</x:v>
      </x:c>
      <x:c r="F57" s="308" t="str">
        <x:v>Hebreo</x:v>
      </x:c>
      <x:c r="G57" s="308" t="str">
        <x:v>Watchdog de medios</x:v>
      </x:c>
      <x:c r="H57" s="308" t="str">
        <x:v>Análisis de medios, propiedad y ética</x:v>
      </x:c>
      <x:c r="I57" s="308" t="str">
        <x:v>Organización independiente</x:v>
      </x:c>
      <x:c r="J57" s="308" t="str">
        <x:v>Independiente</x:v>
      </x:c>
      <x:c r="K57" s="308" t="str">
        <x:v>Crítico / plural</x:v>
      </x:c>
      <x:c r="L57" s="404" t="str">
        <x:v>Israelí / observación mediática</x:v>
      </x:c>
      <x:c r="M57" s="309" t="n">
        <x:v>4</x:v>
      </x:c>
      <x:c r="N57" s="309" t="n">
        <x:v>4</x:v>
      </x:c>
      <x:c r="O57" s="309" t="n">
        <x:v>4</x:v>
      </x:c>
      <x:c r="P57" s="309" t="n">
        <x:v>4</x:v>
      </x:c>
      <x:c r="Q57" s="309" t="n">
        <x:v>3</x:v>
      </x:c>
      <x:c r="R57" s="309" t="n">
        <x:v>5</x:v>
      </x:c>
      <x:c r="S57" s="311" t="n">
        <x:v>4</x:v>
      </x:c>
      <x:c r="T57" s="309" t="str">
        <x:v>Media-alta</x:v>
      </x:c>
      <x:c r="U57" s="308" t="str">
        <x:v>Ecosistema mediático israelí y conflictos de interés</x:v>
      </x:c>
      <x:c r="V57" s="308" t="str">
        <x:v>Moderada</x:v>
      </x:c>
      <x:c r="W57" s="308" t="str">
        <x:v>Documentos corporativos y otras evaluaciones</x:v>
      </x:c>
      <x:c r="X57" s="308" t="str">
        <x:v>Activo</x:v>
      </x:c>
      <x:c r="Y57" s="308"/>
      <x:c r="Z57" s="308" t="str">
        <x:v>https://www.the7eye.org.il/</x:v>
      </x:c>
      <x:c r="AA57" s="310" t="n">
        <x:v>46219</x:v>
      </x:c>
    </x:row>
    <x:row r="58">
      <x:c r="A58" s="309" t="n">
        <x:v>37</x:v>
      </x:c>
      <x:c r="B58" s="312" t="str">
        <x:v>INSS</x:v>
      </x:c>
      <x:c r="C58" s="313" t="str">
        <x:v>https://www.inss.org.il/</x:v>
      </x:c>
      <x:c r="D58" s="308" t="str">
        <x:v>Israel</x:v>
      </x:c>
      <x:c r="E58" s="308" t="str">
        <x:v>Medio Oriente</x:v>
      </x:c>
      <x:c r="F58" s="308" t="str">
        <x:v>Hebreo/Inglés</x:v>
      </x:c>
      <x:c r="G58" s="308" t="str">
        <x:v>Think tank</x:v>
      </x:c>
      <x:c r="H58" s="308" t="str">
        <x:v>Seguridad nacional y estrategia</x:v>
      </x:c>
      <x:c r="I58" s="308" t="str">
        <x:v>Instituto sin fines de lucro</x:v>
      </x:c>
      <x:c r="J58" s="308" t="str">
        <x:v>ONG/think tank</x:v>
      </x:c>
      <x:c r="K58" s="308" t="str">
        <x:v>Establishment de seguridad; plural interno</x:v>
      </x:c>
      <x:c r="L58" s="404" t="str">
        <x:v>Israelí / seguridad nacional</x:v>
      </x:c>
      <x:c r="M58" s="309" t="n">
        <x:v>4</x:v>
      </x:c>
      <x:c r="N58" s="309" t="n">
        <x:v>4</x:v>
      </x:c>
      <x:c r="O58" s="309" t="n">
        <x:v>4</x:v>
      </x:c>
      <x:c r="P58" s="309" t="n">
        <x:v>4</x:v>
      </x:c>
      <x:c r="Q58" s="309" t="n">
        <x:v>3</x:v>
      </x:c>
      <x:c r="R58" s="309" t="n">
        <x:v>4</x:v>
      </x:c>
      <x:c r="S58" s="311" t="n">
        <x:v>3.8</x:v>
      </x:c>
      <x:c r="T58" s="309" t="str">
        <x:v>Media-alta</x:v>
      </x:c>
      <x:c r="U58" s="308" t="str">
        <x:v>Seguridad israelí y escenarios regionales</x:v>
      </x:c>
      <x:c r="V58" s="308" t="str">
        <x:v>Moderada-alta</x:v>
      </x:c>
      <x:c r="W58" s="308" t="str">
        <x:v>Think tanks árabes, IISS, RUSI y fuentes primarias</x:v>
      </x:c>
      <x:c r="X58" s="308" t="str">
        <x:v>Activo</x:v>
      </x:c>
      <x:c r="Y58" s="308"/>
      <x:c r="Z58" s="308" t="str">
        <x:v>https://www.inss.org.il/</x:v>
      </x:c>
      <x:c r="AA58" s="310" t="n">
        <x:v>46219</x:v>
      </x:c>
    </x:row>
    <x:row r="59">
      <x:c r="A59" s="309" t="n">
        <x:v>24</x:v>
      </x:c>
      <x:c r="B59" s="312" t="str">
        <x:v>Kan (Israel)</x:v>
      </x:c>
      <x:c r="C59" s="313" t="str">
        <x:v>https://www.kan.org.il/</x:v>
      </x:c>
      <x:c r="D59" s="308" t="str">
        <x:v>Israel</x:v>
      </x:c>
      <x:c r="E59" s="308" t="str">
        <x:v>Medio Oriente</x:v>
      </x:c>
      <x:c r="F59" s="308" t="str">
        <x:v>Hebreo/Árabe</x:v>
      </x:c>
      <x:c r="G59" s="308" t="str">
        <x:v>Radiodifusor público</x:v>
      </x:c>
      <x:c r="H59" s="308" t="str">
        <x:v>Noticias nacionales e internacionales</x:v>
      </x:c>
      <x:c r="I59" s="308" t="str">
        <x:v>Financiación pública</x:v>
      </x:c>
      <x:c r="J59" s="308" t="str">
        <x:v>Público</x:v>
      </x:c>
      <x:c r="K59" s="308" t="str">
        <x:v>Centro; plural</x:v>
      </x:c>
      <x:c r="L59" s="404" t="str">
        <x:v>Israelí / servicio público</x:v>
      </x:c>
      <x:c r="M59" s="309" t="n">
        <x:v>4</x:v>
      </x:c>
      <x:c r="N59" s="309" t="n">
        <x:v>4</x:v>
      </x:c>
      <x:c r="O59" s="309" t="n">
        <x:v>5</x:v>
      </x:c>
      <x:c r="P59" s="309" t="n">
        <x:v>4</x:v>
      </x:c>
      <x:c r="Q59" s="309" t="n">
        <x:v>4</x:v>
      </x:c>
      <x:c r="R59" s="309" t="n">
        <x:v>4</x:v>
      </x:c>
      <x:c r="S59" s="311" t="n">
        <x:v>4.2</x:v>
      </x:c>
      <x:c r="T59" s="309" t="str">
        <x:v>Media-alta</x:v>
      </x:c>
      <x:c r="U59" s="308" t="str">
        <x:v>Cobertura nacional y fuente audiovisual pública</x:v>
      </x:c>
      <x:c r="V59" s="308" t="str">
        <x:v>Moderada</x:v>
      </x:c>
      <x:c r="W59" s="308" t="str">
        <x:v>N12, Channel 13 y prensa escrita</x:v>
      </x:c>
      <x:c r="X59" s="308" t="str">
        <x:v>Activo</x:v>
      </x:c>
      <x:c r="Y59" s="308"/>
      <x:c r="Z59" s="308" t="str">
        <x:v>https://www.kan.org.il/</x:v>
      </x:c>
      <x:c r="AA59" s="310" t="n">
        <x:v>46219</x:v>
      </x:c>
    </x:row>
    <x:row r="60">
      <x:c r="A60" s="309" t="n">
        <x:v>23</x:v>
      </x:c>
      <x:c r="B60" s="312" t="str">
        <x:v>Haaretz</x:v>
      </x:c>
      <x:c r="C60" s="313" t="str">
        <x:v>https://www.haaretz.com/</x:v>
      </x:c>
      <x:c r="D60" s="308" t="str">
        <x:v>Israel; edición hebrea e inglesa</x:v>
      </x:c>
      <x:c r="E60" s="308" t="str">
        <x:v>Medio Oriente</x:v>
      </x:c>
      <x:c r="F60" s="308" t="str">
        <x:v>Hebreo/Inglés</x:v>
      </x:c>
      <x:c r="G60" s="308" t="str">
        <x:v>Medio generalista</x:v>
      </x:c>
      <x:c r="H60" s="308" t="str">
        <x:v>Noticias, investigación, análisis y opinión</x:v>
      </x:c>
      <x:c r="I60" s="308" t="str">
        <x:v>Privado comercial</x:v>
      </x:c>
      <x:c r="J60" s="308" t="str">
        <x:v>Privado</x:v>
      </x:c>
      <x:c r="K60" s="308" t="str">
        <x:v>Liberal / centro-izquierda</x:v>
      </x:c>
      <x:c r="L60" s="404" t="str">
        <x:v>Israelí liberal; crítico de la ocupación</x:v>
      </x:c>
      <x:c r="M60" s="309" t="n">
        <x:v>4</x:v>
      </x:c>
      <x:c r="N60" s="309" t="n">
        <x:v>4</x:v>
      </x:c>
      <x:c r="O60" s="309" t="n">
        <x:v>4</x:v>
      </x:c>
      <x:c r="P60" s="309" t="n">
        <x:v>4</x:v>
      </x:c>
      <x:c r="Q60" s="309" t="n">
        <x:v>4</x:v>
      </x:c>
      <x:c r="R60" s="309" t="n">
        <x:v>3</x:v>
      </x:c>
      <x:c r="S60" s="311" t="n">
        <x:v>3.8</x:v>
      </x:c>
      <x:c r="T60" s="309" t="str">
        <x:v>Media-alta</x:v>
      </x:c>
      <x:c r="U60" s="308" t="str">
        <x:v>Investigación y perspectiva liberal israelí</x:v>
      </x:c>
      <x:c r="V60" s="308" t="str">
        <x:v>Moderada</x:v>
      </x:c>
      <x:c r="W60" s="308" t="str">
        <x:v>Kan, TOI, Ynet, medios árabes y fuentes oficiales</x:v>
      </x:c>
      <x:c r="X60" s="308" t="str">
        <x:v>Activo</x:v>
      </x:c>
      <x:c r="Y60" s="308" t="str">
        <x:v>Separar noticias, análisis y columnas editoriales.</x:v>
      </x:c>
      <x:c r="Z60" s="308" t="str">
        <x:v>https://www.haaretz.com/</x:v>
      </x:c>
      <x:c r="AA60" s="310" t="n">
        <x:v>46219</x:v>
      </x:c>
    </x:row>
    <x:row r="61">
      <x:c r="A61" s="309" t="n">
        <x:v>50</x:v>
      </x:c>
      <x:c r="B61" s="312" t="str">
        <x:v>Kyodo News</x:v>
      </x:c>
      <x:c r="C61" s="313" t="str">
        <x:v>https://english.kyodonews.net/</x:v>
      </x:c>
      <x:c r="D61" s="308" t="str">
        <x:v>Japón</x:v>
      </x:c>
      <x:c r="E61" s="308" t="str">
        <x:v>Asia</x:v>
      </x:c>
      <x:c r="F61" s="308" t="str">
        <x:v>Japonés/Inglés</x:v>
      </x:c>
      <x:c r="G61" s="308" t="str">
        <x:v>Agencia de noticias</x:v>
      </x:c>
      <x:c r="H61" s="308" t="str">
        <x:v>Noticias nacionales e internacionales</x:v>
      </x:c>
      <x:c r="I61" s="308" t="str">
        <x:v>Cooperativa de prensa</x:v>
      </x:c>
      <x:c r="J61" s="308" t="str">
        <x:v>Cooperativo</x:v>
      </x:c>
      <x:c r="K61" s="308" t="str">
        <x:v>Centro</x:v>
      </x:c>
      <x:c r="L61" s="404" t="str">
        <x:v>Japonesa</x:v>
      </x:c>
      <x:c r="M61" s="309" t="n">
        <x:v>5</x:v>
      </x:c>
      <x:c r="N61" s="309" t="n">
        <x:v>5</x:v>
      </x:c>
      <x:c r="O61" s="309" t="n">
        <x:v>5</x:v>
      </x:c>
      <x:c r="P61" s="309" t="n">
        <x:v>5</x:v>
      </x:c>
      <x:c r="Q61" s="309" t="n">
        <x:v>4</x:v>
      </x:c>
      <x:c r="R61" s="309" t="n">
        <x:v>5</x:v>
      </x:c>
      <x:c r="S61" s="311" t="n">
        <x:v>4.8</x:v>
      </x:c>
      <x:c r="T61" s="309" t="str">
        <x:v>Alta</x:v>
      </x:c>
      <x:c r="U61" s="308" t="str">
        <x:v>Japón y Asia Oriental</x:v>
      </x:c>
      <x:c r="V61" s="308" t="str">
        <x:v>Baja a moderada</x:v>
      </x:c>
      <x:c r="W61" s="308" t="str">
        <x:v>Reuters/AP y documentos oficiales</x:v>
      </x:c>
      <x:c r="X61" s="308" t="str">
        <x:v>Nuevo recomendado</x:v>
      </x:c>
      <x:c r="Y61" s="308"/>
      <x:c r="Z61" s="308" t="str">
        <x:v>https://english.kyodonews.net/</x:v>
      </x:c>
      <x:c r="AA61" s="310" t="n">
        <x:v>46219</x:v>
      </x:c>
    </x:row>
    <x:row r="62">
      <x:c r="A62" s="309" t="n">
        <x:v>49</x:v>
      </x:c>
      <x:c r="B62" s="312" t="str">
        <x:v>NHK World-Japan</x:v>
      </x:c>
      <x:c r="C62" s="313" t="str">
        <x:v>https://www3.nhk.or.jp/nhkworld/</x:v>
      </x:c>
      <x:c r="D62" s="308" t="str">
        <x:v>Japón; alcance global</x:v>
      </x:c>
      <x:c r="E62" s="308" t="str">
        <x:v>Asia/Global</x:v>
      </x:c>
      <x:c r="F62" s="308" t="str">
        <x:v>Multilingüe</x:v>
      </x:c>
      <x:c r="G62" s="308" t="str">
        <x:v>Radiodifusor público internacional</x:v>
      </x:c>
      <x:c r="H62" s="308" t="str">
        <x:v>Noticias y contexto</x:v>
      </x:c>
      <x:c r="I62" s="308" t="str">
        <x:v>Financiación pública</x:v>
      </x:c>
      <x:c r="J62" s="308" t="str">
        <x:v>Público</x:v>
      </x:c>
      <x:c r="K62" s="308" t="str">
        <x:v>Centro / institucional</x:v>
      </x:c>
      <x:c r="L62" s="404" t="str">
        <x:v>Japonesa</x:v>
      </x:c>
      <x:c r="M62" s="309" t="n">
        <x:v>4</x:v>
      </x:c>
      <x:c r="N62" s="309" t="n">
        <x:v>4</x:v>
      </x:c>
      <x:c r="O62" s="309" t="n">
        <x:v>5</x:v>
      </x:c>
      <x:c r="P62" s="309" t="n">
        <x:v>4</x:v>
      </x:c>
      <x:c r="Q62" s="309" t="n">
        <x:v>4</x:v>
      </x:c>
      <x:c r="R62" s="309" t="n">
        <x:v>5</x:v>
      </x:c>
      <x:c r="S62" s="311" t="n">
        <x:v>4.3</x:v>
      </x:c>
      <x:c r="T62" s="309" t="str">
        <x:v>Alta</x:v>
      </x:c>
      <x:c r="U62" s="308" t="str">
        <x:v>Japón y Asia Oriental</x:v>
      </x:c>
      <x:c r="V62" s="308" t="str">
        <x:v>Moderada</x:v>
      </x:c>
      <x:c r="W62" s="308" t="str">
        <x:v>Kyodo, Reuters y medios regionales</x:v>
      </x:c>
      <x:c r="X62" s="308" t="str">
        <x:v>Nuevo recomendado</x:v>
      </x:c>
      <x:c r="Y62" s="308"/>
      <x:c r="Z62" s="308" t="str">
        <x:v>https://www3.nhk.or.jp/nhkworld/</x:v>
      </x:c>
      <x:c r="AA62" s="310" t="n">
        <x:v>46219</x:v>
      </x:c>
    </x:row>
    <x:row r="63">
      <x:c r="A63" s="309" t="n">
        <x:v>47</x:v>
      </x:c>
      <x:c r="B63" s="312" t="str">
        <x:v>Nikkei Asia</x:v>
      </x:c>
      <x:c r="C63" s="313" t="str">
        <x:v>https://asia.nikkei.com/</x:v>
      </x:c>
      <x:c r="D63" s="308" t="str">
        <x:v>Japón; alcance asiático</x:v>
      </x:c>
      <x:c r="E63" s="308" t="str">
        <x:v>Asia</x:v>
      </x:c>
      <x:c r="F63" s="308" t="str">
        <x:v>Inglés</x:v>
      </x:c>
      <x:c r="G63" s="308" t="str">
        <x:v>Medio económico regional</x:v>
      </x:c>
      <x:c r="H63" s="308" t="str">
        <x:v>Empresas, economía y geopolítica asiática</x:v>
      </x:c>
      <x:c r="I63" s="308" t="str">
        <x:v>Privado comercial</x:v>
      </x:c>
      <x:c r="J63" s="308" t="str">
        <x:v>Privado</x:v>
      </x:c>
      <x:c r="K63" s="308" t="str">
        <x:v>Centro / promercado</x:v>
      </x:c>
      <x:c r="L63" s="404" t="str">
        <x:v>Japonesa / asiática</x:v>
      </x:c>
      <x:c r="M63" s="309" t="n">
        <x:v>5</x:v>
      </x:c>
      <x:c r="N63" s="309" t="n">
        <x:v>4</x:v>
      </x:c>
      <x:c r="O63" s="309" t="n">
        <x:v>4</x:v>
      </x:c>
      <x:c r="P63" s="309" t="n">
        <x:v>5</x:v>
      </x:c>
      <x:c r="Q63" s="309" t="n">
        <x:v>5</x:v>
      </x:c>
      <x:c r="R63" s="309" t="n">
        <x:v>4</x:v>
      </x:c>
      <x:c r="S63" s="311" t="n">
        <x:v>4.5</x:v>
      </x:c>
      <x:c r="T63" s="309" t="str">
        <x:v>Alta</x:v>
      </x:c>
      <x:c r="U63" s="308" t="str">
        <x:v>Asia, cadenas de suministro y geoeconomía</x:v>
      </x:c>
      <x:c r="V63" s="308" t="str">
        <x:v>Moderada</x:v>
      </x:c>
      <x:c r="W63" s="308" t="str">
        <x:v>Reuters, Bloomberg y medios locales</x:v>
      </x:c>
      <x:c r="X63" s="308" t="str">
        <x:v>Nuevo recomendado</x:v>
      </x:c>
      <x:c r="Y63" s="308"/>
      <x:c r="Z63" s="308" t="str">
        <x:v>https://asia.nikkei.com/</x:v>
      </x:c>
      <x:c r="AA63" s="310" t="n">
        <x:v>46219</x:v>
      </x:c>
    </x:row>
    <x:row r="64">
      <x:c r="A64" s="309" t="n">
        <x:v>87</x:v>
      </x:c>
      <x:c r="B64" s="312" t="str">
        <x:v>Africa Uncensored</x:v>
      </x:c>
      <x:c r="C64" s="313" t="str">
        <x:v>https://africauncensored.online/</x:v>
      </x:c>
      <x:c r="D64" s="308" t="str">
        <x:v>Kenia; investigaciones de alcance continental</x:v>
      </x:c>
      <x:c r="E64" s="308" t="str">
        <x:v>África Oriental / Pancontinental</x:v>
      </x:c>
      <x:c r="F64" s="308" t="str">
        <x:v>Inglés/Producción audiovisual</x:v>
      </x:c>
      <x:c r="G64" s="308" t="str">
        <x:v>Medio de investigación</x:v>
      </x:c>
      <x:c r="H64" s="308" t="str">
        <x:v>Investigación audiovisual y periodismo de interés público</x:v>
      </x:c>
      <x:c r="I64" s="308" t="str">
        <x:v>Medio independiente</x:v>
      </x:c>
      <x:c r="J64" s="308" t="str">
        <x:v>Independiente</x:v>
      </x:c>
      <x:c r="K64" s="308" t="str">
        <x:v>Rendición de cuentas / interés público</x:v>
      </x:c>
      <x:c r="L64" s="404" t="str">
        <x:v>Kenia / pan-africana</x:v>
      </x:c>
      <x:c r="M64" s="309" t="n">
        <x:v>4</x:v>
      </x:c>
      <x:c r="N64" s="309" t="n">
        <x:v>5</x:v>
      </x:c>
      <x:c r="O64" s="309" t="n">
        <x:v>4</x:v>
      </x:c>
      <x:c r="P64" s="309" t="n">
        <x:v>5</x:v>
      </x:c>
      <x:c r="Q64" s="309" t="n">
        <x:v>4</x:v>
      </x:c>
      <x:c r="R64" s="309" t="n">
        <x:v>4</x:v>
      </x:c>
      <x:c r="S64" s="311" t="n">
        <x:v>4.3</x:v>
      </x:c>
      <x:c r="T64" s="309" t="str">
        <x:v>Alta</x:v>
      </x:c>
      <x:c r="U64" s="308" t="str">
        <x:v>Investigaciones, corrupción y asuntos subcubiertos</x:v>
      </x:c>
      <x:c r="V64" s="308" t="str">
        <x:v>Moderada</x:v>
      </x:c>
      <x:c r="W64" s="308" t="str">
        <x:v>Documentos originales, respuestas de implicados y prensa nacional</x:v>
      </x:c>
      <x:c r="X64" s="308" t="str">
        <x:v>Nuevo recomendado</x:v>
      </x:c>
      <x:c r="Y64" s="308" t="str">
        <x:v>Casa de periodismo investigativo con sede en Nairobi; prioriza investigaciones visuales y de largo formato.</x:v>
      </x:c>
      <x:c r="Z64" s="308" t="str">
        <x:v>https://africauncensored.online/about/</x:v>
      </x:c>
      <x:c r="AA64" s="310" t="n">
        <x:v>46219</x:v>
      </x:c>
    </x:row>
    <x:row r="65">
      <x:c r="A65" s="309" t="n">
        <x:v>85</x:v>
      </x:c>
      <x:c r="B65" s="312" t="str">
        <x:v>The Elephant</x:v>
      </x:c>
      <x:c r="C65" s="313" t="str">
        <x:v>https://www.theelephant.info/</x:v>
      </x:c>
      <x:c r="D65" s="308" t="str">
        <x:v>Kenia; alcance pan-africano</x:v>
      </x:c>
      <x:c r="E65" s="308" t="str">
        <x:v>África Oriental / Pancontinental</x:v>
      </x:c>
      <x:c r="F65" s="308" t="str">
        <x:v>Inglés</x:v>
      </x:c>
      <x:c r="G65" s="308" t="str">
        <x:v>Plataforma de análisis</x:v>
      </x:c>
      <x:c r="H65" s="308" t="str">
        <x:v>Ensayo, opinión, investigación y debate</x:v>
      </x:c>
      <x:c r="I65" s="308" t="str">
        <x:v>Membresías, socios y financiación declarada</x:v>
      </x:c>
      <x:c r="J65" s="308" t="str">
        <x:v>Independiente</x:v>
      </x:c>
      <x:c r="K65" s="308" t="str">
        <x:v>Pan-africanista / progresista</x:v>
      </x:c>
      <x:c r="L65" s="404" t="str">
        <x:v>Kenia / pan-africana</x:v>
      </x:c>
      <x:c r="M65" s="309" t="n">
        <x:v>3</x:v>
      </x:c>
      <x:c r="N65" s="309" t="n">
        <x:v>4</x:v>
      </x:c>
      <x:c r="O65" s="309" t="n">
        <x:v>4</x:v>
      </x:c>
      <x:c r="P65" s="309" t="n">
        <x:v>4</x:v>
      </x:c>
      <x:c r="Q65" s="309" t="n">
        <x:v>3</x:v>
      </x:c>
      <x:c r="R65" s="309" t="n">
        <x:v>3</x:v>
      </x:c>
      <x:c r="S65" s="311" t="n">
        <x:v>3.5</x:v>
      </x:c>
      <x:c r="T65" s="309" t="str">
        <x:v>Media-alta</x:v>
      </x:c>
      <x:c r="U65" s="308" t="str">
        <x:v>Interpretación política, sociedad civil y debate intelectual</x:v>
      </x:c>
      <x:c r="V65" s="308" t="str">
        <x:v>Alta</x:v>
      </x:c>
      <x:c r="W65" s="308" t="str">
        <x:v>Noticias factuales, documentos y perspectivas ideológicas distintas</x:v>
      </x:c>
      <x:c r="X65" s="308" t="str">
        <x:v>Nuevo recomendado</x:v>
      </x:c>
      <x:c r="Y65" s="308" t="str">
        <x:v>Aporta análisis valioso, pero una parte importante del contenido es opinión o ensayo y no debe tratarse como noticia.</x:v>
      </x:c>
      <x:c r="Z65" s="308" t="str">
        <x:v>https://www.theelephant.info/about/</x:v>
      </x:c>
      <x:c r="AA65" s="310" t="n">
        <x:v>46219</x:v>
      </x:c>
    </x:row>
    <x:row r="66">
      <x:c r="A66" s="309" t="n">
        <x:v>9</x:v>
      </x:c>
      <x:c r="B66" s="312" t="str">
        <x:v>The Guardian</x:v>
      </x:c>
      <x:c r="C66" s="313" t="str">
        <x:v>https://www.theguardian.com/international</x:v>
      </x:c>
      <x:c r="D66" s="308" t="str">
        <x:v>Reino Unido; alcance global</x:v>
      </x:c>
      <x:c r="E66" s="308" t="str">
        <x:v>Global/Occidente</x:v>
      </x:c>
      <x:c r="F66" s="308" t="str">
        <x:v>Inglés</x:v>
      </x:c>
      <x:c r="G66" s="308" t="str">
        <x:v>Medio generalista</x:v>
      </x:c>
      <x:c r="H66" s="308" t="str">
        <x:v>Noticias, investigación y opinión</x:v>
      </x:c>
      <x:c r="I66" s="308" t="str">
        <x:v>Propiedad fiduciaria</x:v>
      </x:c>
      <x:c r="J66" s="308" t="str">
        <x:v>Privado/fiduciario</x:v>
      </x:c>
      <x:c r="K66" s="308" t="str">
        <x:v>Centro-izquierda</x:v>
      </x:c>
      <x:c r="L66" s="404" t="str">
        <x:v>Liberal / derechos humanos</x:v>
      </x:c>
      <x:c r="M66" s="309" t="n">
        <x:v>4</x:v>
      </x:c>
      <x:c r="N66" s="309" t="n">
        <x:v>4</x:v>
      </x:c>
      <x:c r="O66" s="309" t="n">
        <x:v>5</x:v>
      </x:c>
      <x:c r="P66" s="309" t="n">
        <x:v>4</x:v>
      </x:c>
      <x:c r="Q66" s="309" t="n">
        <x:v>5</x:v>
      </x:c>
      <x:c r="R66" s="309" t="n">
        <x:v>4</x:v>
      </x:c>
      <x:c r="S66" s="311" t="n">
        <x:v>4.3</x:v>
      </x:c>
      <x:c r="T66" s="309" t="str">
        <x:v>Alta</x:v>
      </x:c>
      <x:c r="U66" s="308" t="str">
        <x:v>Investigación, sociedad y clima</x:v>
      </x:c>
      <x:c r="V66" s="308" t="str">
        <x:v>Moderada</x:v>
      </x:c>
      <x:c r="W66" s="308" t="str">
        <x:v>Agencias y fuentes con distinta perspectiva</x:v>
      </x:c>
      <x:c r="X66" s="308" t="str">
        <x:v>Activo</x:v>
      </x:c>
      <x:c r="Y66" s="308"/>
      <x:c r="Z66" s="308" t="str">
        <x:v>https://www.theguardian.com/international</x:v>
      </x:c>
      <x:c r="AA66" s="310" t="n">
        <x:v>46219</x:v>
      </x:c>
    </x:row>
    <x:row r="67">
      <x:c r="A67" s="309" t="n">
        <x:v>81</x:v>
      </x:c>
      <x:c r="B67" s="312" t="str">
        <x:v>Le Desk</x:v>
      </x:c>
      <x:c r="C67" s="313" t="str">
        <x:v>https://ledesk.ma/</x:v>
      </x:c>
      <x:c r="D67" s="308" t="str">
        <x:v>Marruecos</x:v>
      </x:c>
      <x:c r="E67" s="308" t="str">
        <x:v>África del Norte</x:v>
      </x:c>
      <x:c r="F67" s="308" t="str">
        <x:v>Francés</x:v>
      </x:c>
      <x:c r="G67" s="308" t="str">
        <x:v>Medio digital de investigación</x:v>
      </x:c>
      <x:c r="H67" s="308" t="str">
        <x:v>Noticias, investigación y análisis</x:v>
      </x:c>
      <x:c r="I67" s="308" t="str">
        <x:v>Suscripción comercial; Pulse Media</x:v>
      </x:c>
      <x:c r="J67" s="308" t="str">
        <x:v>Privado</x:v>
      </x:c>
      <x:c r="K67" s="308" t="str">
        <x:v>Liberal / crítico</x:v>
      </x:c>
      <x:c r="L67" s="404" t="str">
        <x:v>Marroquí / magrebí</x:v>
      </x:c>
      <x:c r="M67" s="309" t="n">
        <x:v>4</x:v>
      </x:c>
      <x:c r="N67" s="309" t="n">
        <x:v>4</x:v>
      </x:c>
      <x:c r="O67" s="309" t="n">
        <x:v>4</x:v>
      </x:c>
      <x:c r="P67" s="309" t="n">
        <x:v>4</x:v>
      </x:c>
      <x:c r="Q67" s="309" t="n">
        <x:v>4</x:v>
      </x:c>
      <x:c r="R67" s="309" t="n">
        <x:v>4</x:v>
      </x:c>
      <x:c r="S67" s="311" t="n">
        <x:v>4</x:v>
      </x:c>
      <x:c r="T67" s="309" t="str">
        <x:v>Media-alta</x:v>
      </x:c>
      <x:c r="U67" s="308" t="str">
        <x:v>Marruecos, Magreb, diplomacia y redes económicas</x:v>
      </x:c>
      <x:c r="V67" s="308" t="str">
        <x:v>Moderada-alta</x:v>
      </x:c>
      <x:c r="W67" s="308" t="str">
        <x:v>Documentos, agencias, prensa marroquí y medios magrebíes</x:v>
      </x:c>
      <x:c r="X67" s="308" t="str">
        <x:v>Nuevo recomendado</x:v>
      </x:c>
      <x:c r="Y67" s="308" t="str">
        <x:v>Medio de pago con orientación investigativa; corroborar asuntos relacionados con la monarquía, seguridad o fuentes reservadas.</x:v>
      </x:c>
      <x:c r="Z67" s="308" t="str">
        <x:v>https://ledesk.ma/charte-editoriale/</x:v>
      </x:c>
      <x:c r="AA67" s="310" t="n">
        <x:v>46219</x:v>
      </x:c>
    </x:row>
    <x:row r="68">
      <x:c r="A68" s="309" t="n">
        <x:v>11</x:v>
      </x:c>
      <x:c r="B68" s="312" t="str">
        <x:v>The Wall Street Journal</x:v>
      </x:c>
      <x:c r="C68" s="313" t="str">
        <x:v>https://www.wsj.com/</x:v>
      </x:c>
      <x:c r="D68" s="308" t="str">
        <x:v>Estados Unidos; alcance global</x:v>
      </x:c>
      <x:c r="E68" s="308" t="str">
        <x:v>Global/Occidente</x:v>
      </x:c>
      <x:c r="F68" s="308" t="str">
        <x:v>Inglés</x:v>
      </x:c>
      <x:c r="G68" s="308" t="str">
        <x:v>Medio generalista y financiero</x:v>
      </x:c>
      <x:c r="H68" s="308" t="str">
        <x:v>Noticias económicas, empresariales y opinión</x:v>
      </x:c>
      <x:c r="I68" s="308" t="str">
        <x:v>Privado comercial</x:v>
      </x:c>
      <x:c r="J68" s="308" t="str">
        <x:v>Privado</x:v>
      </x:c>
      <x:c r="K68" s="308" t="str">
        <x:v>Centro-derecha; editorial conservador</x:v>
      </x:c>
      <x:c r="L68" s="404" t="str">
        <x:v>Mercados / estadounidense</x:v>
      </x:c>
      <x:c r="M68" s="309" t="n">
        <x:v>5</x:v>
      </x:c>
      <x:c r="N68" s="309" t="n">
        <x:v>4</x:v>
      </x:c>
      <x:c r="O68" s="309" t="n">
        <x:v>4</x:v>
      </x:c>
      <x:c r="P68" s="309" t="n">
        <x:v>5</x:v>
      </x:c>
      <x:c r="Q68" s="309" t="n">
        <x:v>5</x:v>
      </x:c>
      <x:c r="R68" s="309" t="n">
        <x:v>4</x:v>
      </x:c>
      <x:c r="S68" s="311" t="n">
        <x:v>4.5</x:v>
      </x:c>
      <x:c r="T68" s="309" t="str">
        <x:v>Alta</x:v>
      </x:c>
      <x:c r="U68" s="308" t="str">
        <x:v>Economía, empresas, sanciones y comercio</x:v>
      </x:c>
      <x:c r="V68" s="308" t="str">
        <x:v>Moderada</x:v>
      </x:c>
      <x:c r="W68" s="308" t="str">
        <x:v>Reuters, Bloomberg y documentos regulatorios</x:v>
      </x:c>
      <x:c r="X68" s="308" t="str">
        <x:v>Activo</x:v>
      </x:c>
      <x:c r="Y68" s="308" t="str">
        <x:v>La sección informativa y la página editorial tienen perfiles distintos.</x:v>
      </x:c>
      <x:c r="Z68" s="308" t="str">
        <x:v>https://www.wsj.com/</x:v>
      </x:c>
      <x:c r="AA68" s="310" t="n">
        <x:v>46219</x:v>
      </x:c>
    </x:row>
    <x:row r="69">
      <x:c r="A69" s="309" t="n">
        <x:v>14</x:v>
      </x:c>
      <x:c r="B69" s="312" t="str">
        <x:v>Bloomberg</x:v>
      </x:c>
      <x:c r="C69" s="313" t="str">
        <x:v>https://www.bloomberg.com/</x:v>
      </x:c>
      <x:c r="D69" s="308" t="str">
        <x:v>Estados Unidos; alcance global</x:v>
      </x:c>
      <x:c r="E69" s="308" t="str">
        <x:v>Global</x:v>
      </x:c>
      <x:c r="F69" s="308" t="str">
        <x:v>Inglés</x:v>
      </x:c>
      <x:c r="G69" s="308" t="str">
        <x:v>Medio financiero</x:v>
      </x:c>
      <x:c r="H69" s="308" t="str">
        <x:v>Mercados, empresas, energía y política económica</x:v>
      </x:c>
      <x:c r="I69" s="308" t="str">
        <x:v>Privado comercial</x:v>
      </x:c>
      <x:c r="J69" s="308" t="str">
        <x:v>Privado</x:v>
      </x:c>
      <x:c r="K69" s="308" t="str">
        <x:v>Centro / promercado</x:v>
      </x:c>
      <x:c r="L69" s="404" t="str">
        <x:v>Mercados globales</x:v>
      </x:c>
      <x:c r="M69" s="309" t="n">
        <x:v>5</x:v>
      </x:c>
      <x:c r="N69" s="309" t="n">
        <x:v>4</x:v>
      </x:c>
      <x:c r="O69" s="309" t="n">
        <x:v>4</x:v>
      </x:c>
      <x:c r="P69" s="309" t="n">
        <x:v>5</x:v>
      </x:c>
      <x:c r="Q69" s="309" t="n">
        <x:v>5</x:v>
      </x:c>
      <x:c r="R69" s="309" t="n">
        <x:v>4</x:v>
      </x:c>
      <x:c r="S69" s="311" t="n">
        <x:v>4.5</x:v>
      </x:c>
      <x:c r="T69" s="309" t="str">
        <x:v>Alta</x:v>
      </x:c>
      <x:c r="U69" s="308" t="str">
        <x:v>Economía, sanciones, energía y empresas</x:v>
      </x:c>
      <x:c r="V69" s="308" t="str">
        <x:v>Moderada</x:v>
      </x:c>
      <x:c r="W69" s="308" t="str">
        <x:v>Reuters, FT y documentos financieros</x:v>
      </x:c>
      <x:c r="X69" s="308" t="str">
        <x:v>Nuevo recomendado</x:v>
      </x:c>
      <x:c r="Y69" s="308"/>
      <x:c r="Z69" s="308" t="str">
        <x:v>https://www.bloomberg.com/</x:v>
      </x:c>
      <x:c r="AA69" s="310" t="n">
        <x:v>46219</x:v>
      </x:c>
    </x:row>
    <x:row r="70">
      <x:c r="A70" s="309" t="n">
        <x:v>92</x:v>
      </x:c>
      <x:c r="B70" s="312" t="str">
        <x:v>The Namibian</x:v>
      </x:c>
      <x:c r="C70" s="313" t="str">
        <x:v>https://www.namibian.com.na/</x:v>
      </x:c>
      <x:c r="D70" s="308" t="str">
        <x:v>Namibia</x:v>
      </x:c>
      <x:c r="E70" s="308" t="str">
        <x:v>África Austral</x:v>
      </x:c>
      <x:c r="F70" s="308" t="str">
        <x:v>Inglés/Oshiwambo</x:v>
      </x:c>
      <x:c r="G70" s="308" t="str">
        <x:v>Medio generalista</x:v>
      </x:c>
      <x:c r="H70" s="308" t="str">
        <x:v>Noticias nacionales, investigación y economía</x:v>
      </x:c>
      <x:c r="I70" s="308" t="str">
        <x:v>The Free Press of Namibia (Pty) Ltd.</x:v>
      </x:c>
      <x:c r="J70" s="308" t="str">
        <x:v>Privado</x:v>
      </x:c>
      <x:c r="K70" s="308" t="str">
        <x:v>Liberal / independencia y democracia</x:v>
      </x:c>
      <x:c r="L70" s="404" t="str">
        <x:v>Namibia / África Austral</x:v>
      </x:c>
      <x:c r="M70" s="309" t="n">
        <x:v>4</x:v>
      </x:c>
      <x:c r="N70" s="309" t="n">
        <x:v>4</x:v>
      </x:c>
      <x:c r="O70" s="309" t="n">
        <x:v>4</x:v>
      </x:c>
      <x:c r="P70" s="309" t="n">
        <x:v>4</x:v>
      </x:c>
      <x:c r="Q70" s="309" t="n">
        <x:v>4</x:v>
      </x:c>
      <x:c r="R70" s="309" t="n">
        <x:v>4</x:v>
      </x:c>
      <x:c r="S70" s="311" t="n">
        <x:v>4</x:v>
      </x:c>
      <x:c r="T70" s="309" t="str">
        <x:v>Media-alta</x:v>
      </x:c>
      <x:c r="U70" s="308" t="str">
        <x:v>Namibia, recursos naturales, economía y política regional</x:v>
      </x:c>
      <x:c r="V70" s="308" t="str">
        <x:v>Moderada</x:v>
      </x:c>
      <x:c r="W70" s="308" t="str">
        <x:v>Documentos, agencias y medios de África Austral</x:v>
      </x:c>
      <x:c r="X70" s="308" t="str">
        <x:v>Nuevo recomendado</x:v>
      </x:c>
      <x:c r="Y70" s="308" t="str">
        <x:v>Diario de amplia implantación nacional con trayectoria vinculada a la independencia y la prensa libre.</x:v>
      </x:c>
      <x:c r="Z70" s="308" t="str">
        <x:v>https://www.namibian.com.na/about-us/</x:v>
      </x:c>
      <x:c r="AA70" s="310" t="n">
        <x:v>46219</x:v>
      </x:c>
    </x:row>
    <x:row r="71">
      <x:c r="A71" s="309" t="n">
        <x:v>82</x:v>
      </x:c>
      <x:c r="B71" s="312" t="str">
        <x:v>Premium Times</x:v>
      </x:c>
      <x:c r="C71" s="313" t="str">
        <x:v>https://www.premiumtimesng.com/</x:v>
      </x:c>
      <x:c r="D71" s="308" t="str">
        <x:v>Nigeria; redacción principal en Abuja</x:v>
      </x:c>
      <x:c r="E71" s="308" t="str">
        <x:v>África Occidental</x:v>
      </x:c>
      <x:c r="F71" s="308" t="str">
        <x:v>Inglés</x:v>
      </x:c>
      <x:c r="G71" s="308" t="str">
        <x:v>Medio independiente / generalista</x:v>
      </x:c>
      <x:c r="H71" s="308" t="str">
        <x:v>Noticias, investigación, datos y rendición de cuentas</x:v>
      </x:c>
      <x:c r="I71" s="308" t="str">
        <x:v>Empresa periodística nigeriana; publicidad, membresías y proyectos</x:v>
      </x:c>
      <x:c r="J71" s="308" t="str">
        <x:v>Privado</x:v>
      </x:c>
      <x:c r="K71" s="308" t="str">
        <x:v>Reformista / buen gobierno</x:v>
      </x:c>
      <x:c r="L71" s="404" t="str">
        <x:v>Nigeriana / África Occidental</x:v>
      </x:c>
      <x:c r="M71" s="309" t="n">
        <x:v>4</x:v>
      </x:c>
      <x:c r="N71" s="309" t="n">
        <x:v>4</x:v>
      </x:c>
      <x:c r="O71" s="309" t="n">
        <x:v>4</x:v>
      </x:c>
      <x:c r="P71" s="309" t="n">
        <x:v>4</x:v>
      </x:c>
      <x:c r="Q71" s="309" t="n">
        <x:v>4</x:v>
      </x:c>
      <x:c r="R71" s="309" t="n">
        <x:v>4</x:v>
      </x:c>
      <x:c r="S71" s="311" t="n">
        <x:v>4</x:v>
      </x:c>
      <x:c r="T71" s="309" t="str">
        <x:v>Media-alta</x:v>
      </x:c>
      <x:c r="U71" s="308" t="str">
        <x:v>Nigeria, democracia, corrupción, seguridad y economía</x:v>
      </x:c>
      <x:c r="V71" s="308" t="str">
        <x:v>Moderada</x:v>
      </x:c>
      <x:c r="W71" s="308" t="str">
        <x:v>Documentos, agencias y otros medios nigerianos</x:v>
      </x:c>
      <x:c r="X71" s="308" t="str">
        <x:v>Nuevo recomendado</x:v>
      </x:c>
      <x:c r="Y71" s="308" t="str">
        <x:v>Fuerte orientación al periodismo de interés público y proyectos de investigación colaborativa.</x:v>
      </x:c>
      <x:c r="Z71" s="308" t="str">
        <x:v>https://www.premiumtimesng.com/about</x:v>
      </x:c>
      <x:c r="AA71" s="310" t="n">
        <x:v>46219</x:v>
      </x:c>
    </x:row>
    <x:row r="72">
      <x:c r="A72" s="309" t="n">
        <x:v>57</x:v>
      </x:c>
      <x:c r="B72" s="312" t="str">
        <x:v>IAEA / OIEA</x:v>
      </x:c>
      <x:c r="C72" s="313" t="str">
        <x:v>https://www.iaea.org/</x:v>
      </x:c>
      <x:c r="D72" s="308" t="str">
        <x:v>Organización internacional; sede en Viena</x:v>
      </x:c>
      <x:c r="E72" s="308" t="str">
        <x:v>Global</x:v>
      </x:c>
      <x:c r="F72" s="308" t="str">
        <x:v>Multilingüe</x:v>
      </x:c>
      <x:c r="G72" s="308" t="str">
        <x:v>Organismo internacional</x:v>
      </x:c>
      <x:c r="H72" s="308" t="str">
        <x:v>Verificación nuclear y salvaguardias</x:v>
      </x:c>
      <x:c r="I72" s="308" t="str">
        <x:v>Estados miembros</x:v>
      </x:c>
      <x:c r="J72" s="308" t="str">
        <x:v>Internacional</x:v>
      </x:c>
      <x:c r="K72" s="308" t="str">
        <x:v>Técnica / multilateral</x:v>
      </x:c>
      <x:c r="L72" s="404" t="str">
        <x:v>No proliferación nuclear</x:v>
      </x:c>
      <x:c r="M72" s="309" t="n">
        <x:v>5</x:v>
      </x:c>
      <x:c r="N72" s="309" t="n">
        <x:v>4</x:v>
      </x:c>
      <x:c r="O72" s="309" t="n">
        <x:v>5</x:v>
      </x:c>
      <x:c r="P72" s="309" t="n">
        <x:v>5</x:v>
      </x:c>
      <x:c r="Q72" s="309" t="n">
        <x:v>5</x:v>
      </x:c>
      <x:c r="R72" s="309" t="n">
        <x:v>5</x:v>
      </x:c>
      <x:c r="S72" s="311" t="n">
        <x:v>4.8</x:v>
      </x:c>
      <x:c r="T72" s="309" t="str">
        <x:v>Alta</x:v>
      </x:c>
      <x:c r="U72" s="308" t="str">
        <x:v>Verificación nuclear y documentos técnicos</x:v>
      </x:c>
      <x:c r="V72" s="308" t="str">
        <x:v>Baja a moderada</x:v>
      </x:c>
      <x:c r="W72" s="308" t="str">
        <x:v>Informes nacionales y documentación complementaria</x:v>
      </x:c>
      <x:c r="X72" s="308" t="str">
        <x:v>Activo</x:v>
      </x:c>
      <x:c r="Y72" s="308" t="str">
        <x:v>Corregido: Austria es la sede, no la nacionalidad institucional.</x:v>
      </x:c>
      <x:c r="Z72" s="308" t="str">
        <x:v>https://www.iaea.org/about/partnerships/united-nations-system</x:v>
      </x:c>
      <x:c r="AA72" s="310" t="n">
        <x:v>46219</x:v>
      </x:c>
    </x:row>
    <x:row r="73">
      <x:c r="A73" s="309" t="n">
        <x:v>43</x:v>
      </x:c>
      <x:c r="B73" s="312" t="str">
        <x:v>SIPRI</x:v>
      </x:c>
      <x:c r="C73" s="313" t="str">
        <x:v>https://www.sipri.org/</x:v>
      </x:c>
      <x:c r="D73" s="308" t="str">
        <x:v>Suecia; alcance global</x:v>
      </x:c>
      <x:c r="E73" s="308" t="str">
        <x:v>Global</x:v>
      </x:c>
      <x:c r="F73" s="308" t="str">
        <x:v>Inglés</x:v>
      </x:c>
      <x:c r="G73" s="308" t="str">
        <x:v>Instituto de investigación</x:v>
      </x:c>
      <x:c r="H73" s="308" t="str">
        <x:v>Datos de armamentos, gasto militar y paz</x:v>
      </x:c>
      <x:c r="I73" s="308" t="str">
        <x:v>Instituto internacional independiente</x:v>
      </x:c>
      <x:c r="J73" s="308" t="str">
        <x:v>ONG/academia</x:v>
      </x:c>
      <x:c r="K73" s="308" t="str">
        <x:v>Centrista / paz y seguridad</x:v>
      </x:c>
      <x:c r="L73" s="404" t="str">
        <x:v>Nórdica / multilateral</x:v>
      </x:c>
      <x:c r="M73" s="309" t="n">
        <x:v>5</x:v>
      </x:c>
      <x:c r="N73" s="309" t="n">
        <x:v>5</x:v>
      </x:c>
      <x:c r="O73" s="309" t="n">
        <x:v>5</x:v>
      </x:c>
      <x:c r="P73" s="309" t="n">
        <x:v>5</x:v>
      </x:c>
      <x:c r="Q73" s="309" t="n">
        <x:v>4</x:v>
      </x:c>
      <x:c r="R73" s="309" t="n">
        <x:v>5</x:v>
      </x:c>
      <x:c r="S73" s="311" t="n">
        <x:v>4.8</x:v>
      </x:c>
      <x:c r="T73" s="309" t="str">
        <x:v>Alta</x:v>
      </x:c>
      <x:c r="U73" s="308" t="str">
        <x:v>Datos de gasto militar, armas y transferencias</x:v>
      </x:c>
      <x:c r="V73" s="308" t="str">
        <x:v>Baja</x:v>
      </x:c>
      <x:c r="W73" s="308" t="str">
        <x:v>Fuentes nacionales e IISS</x:v>
      </x:c>
      <x:c r="X73" s="308" t="str">
        <x:v>Nuevo recomendado</x:v>
      </x:c>
      <x:c r="Y73" s="308"/>
      <x:c r="Z73" s="308" t="str">
        <x:v>https://www.sipri.org/</x:v>
      </x:c>
      <x:c r="AA73" s="310" t="n">
        <x:v>46219</x:v>
      </x:c>
    </x:row>
    <x:row r="74">
      <x:c r="A74" s="309" t="n">
        <x:v>62</x:v>
      </x:c>
      <x:c r="B74" s="312" t="str">
        <x:v>Bellingcat</x:v>
      </x:c>
      <x:c r="C74" s="313" t="str">
        <x:v>https://www.bellingcat.com/</x:v>
      </x:c>
      <x:c r="D74" s="308" t="str">
        <x:v>Países Bajos; red internacional</x:v>
      </x:c>
      <x:c r="E74" s="308" t="str">
        <x:v>Global</x:v>
      </x:c>
      <x:c r="F74" s="308" t="str">
        <x:v>Inglés y otros</x:v>
      </x:c>
      <x:c r="G74" s="308" t="str">
        <x:v>OSINT / investigación</x:v>
      </x:c>
      <x:c r="H74" s="308" t="str">
        <x:v>Verificación visual y reconstrucción de hechos</x:v>
      </x:c>
      <x:c r="I74" s="308" t="str">
        <x:v>Organización independiente</x:v>
      </x:c>
      <x:c r="J74" s="308" t="str">
        <x:v>Independiente</x:v>
      </x:c>
      <x:c r="K74" s="308" t="str">
        <x:v>Liberal / derechos humanos</x:v>
      </x:c>
      <x:c r="L74" s="404" t="str">
        <x:v>OSINT transnacional</x:v>
      </x:c>
      <x:c r="M74" s="309" t="n">
        <x:v>5</x:v>
      </x:c>
      <x:c r="N74" s="309" t="n">
        <x:v>4</x:v>
      </x:c>
      <x:c r="O74" s="309" t="n">
        <x:v>5</x:v>
      </x:c>
      <x:c r="P74" s="309" t="n">
        <x:v>5</x:v>
      </x:c>
      <x:c r="Q74" s="309" t="n">
        <x:v>4</x:v>
      </x:c>
      <x:c r="R74" s="309" t="n">
        <x:v>5</x:v>
      </x:c>
      <x:c r="S74" s="311" t="n">
        <x:v>4.7</x:v>
      </x:c>
      <x:c r="T74" s="309" t="str">
        <x:v>Alta</x:v>
      </x:c>
      <x:c r="U74" s="308" t="str">
        <x:v>Geolocalización, imágenes y verificación digital</x:v>
      </x:c>
      <x:c r="V74" s="308" t="str">
        <x:v>Moderada</x:v>
      </x:c>
      <x:c r="W74" s="308" t="str">
        <x:v>Datos originales, expertos y otras investigaciones OSINT</x:v>
      </x:c>
      <x:c r="X74" s="308" t="str">
        <x:v>Activo</x:v>
      </x:c>
      <x:c r="Y74" s="308"/>
      <x:c r="Z74" s="308" t="str">
        <x:v>https://www.bellingcat.com/</x:v>
      </x:c>
      <x:c r="AA74" s="310" t="n">
        <x:v>46219</x:v>
      </x:c>
    </x:row>
    <x:row r="75">
      <x:c r="A75" s="309" t="n">
        <x:v>55</x:v>
      </x:c>
      <x:c r="B75" s="312" t="str">
        <x:v>Dawn</x:v>
      </x:c>
      <x:c r="C75" s="313" t="str">
        <x:v>https://www.dawn.com/</x:v>
      </x:c>
      <x:c r="D75" s="308" t="str">
        <x:v>Pakistán</x:v>
      </x:c>
      <x:c r="E75" s="308" t="str">
        <x:v>Asia</x:v>
      </x:c>
      <x:c r="F75" s="308" t="str">
        <x:v>Inglés</x:v>
      </x:c>
      <x:c r="G75" s="308" t="str">
        <x:v>Medio generalista</x:v>
      </x:c>
      <x:c r="H75" s="308" t="str">
        <x:v>Noticias y opinión</x:v>
      </x:c>
      <x:c r="I75" s="308" t="str">
        <x:v>Privado comercial</x:v>
      </x:c>
      <x:c r="J75" s="308" t="str">
        <x:v>Privado</x:v>
      </x:c>
      <x:c r="K75" s="308" t="str">
        <x:v>Centro liberal</x:v>
      </x:c>
      <x:c r="L75" s="404" t="str">
        <x:v>Pakistán / Asia del Sur</x:v>
      </x:c>
      <x:c r="M75" s="309" t="n">
        <x:v>4</x:v>
      </x:c>
      <x:c r="N75" s="309" t="n">
        <x:v>4</x:v>
      </x:c>
      <x:c r="O75" s="309" t="n">
        <x:v>4</x:v>
      </x:c>
      <x:c r="P75" s="309" t="n">
        <x:v>4</x:v>
      </x:c>
      <x:c r="Q75" s="309" t="n">
        <x:v>4</x:v>
      </x:c>
      <x:c r="R75" s="309" t="n">
        <x:v>4</x:v>
      </x:c>
      <x:c r="S75" s="311" t="n">
        <x:v>4</x:v>
      </x:c>
      <x:c r="T75" s="309" t="str">
        <x:v>Media-alta</x:v>
      </x:c>
      <x:c r="U75" s="308" t="str">
        <x:v>Pakistán, Afganistán y Asia del Sur</x:v>
      </x:c>
      <x:c r="V75" s="308" t="str">
        <x:v>Moderada</x:v>
      </x:c>
      <x:c r="W75" s="308" t="str">
        <x:v>Reuters, medios locales y fuentes oficiales</x:v>
      </x:c>
      <x:c r="X75" s="308" t="str">
        <x:v>Nuevo recomendado</x:v>
      </x:c>
      <x:c r="Y75" s="308"/>
      <x:c r="Z75" s="308" t="str">
        <x:v>https://www.dawn.com/</x:v>
      </x:c>
      <x:c r="AA75" s="310" t="n">
        <x:v>46219</x:v>
      </x:c>
    </x:row>
    <x:row r="76">
      <x:c r="A76" s="309" t="n">
        <x:v>75</x:v>
      </x:c>
      <x:c r="B76" s="312" t="str">
        <x:v>African Arguments</x:v>
      </x:c>
      <x:c r="C76" s="313" t="str">
        <x:v>https://africanarguments.org/</x:v>
      </x:c>
      <x:c r="D76" s="308" t="str">
        <x:v>Plataforma pan-africana alojada por Royal African Society e International Africa Institute</x:v>
      </x:c>
      <x:c r="E76" s="308" t="str">
        <x:v>África - Pancontinental</x:v>
      </x:c>
      <x:c r="F76" s="308" t="str">
        <x:v>Inglés</x:v>
      </x:c>
      <x:c r="G76" s="308" t="str">
        <x:v>Plataforma de análisis</x:v>
      </x:c>
      <x:c r="H76" s="308" t="str">
        <x:v>Análisis, reportajes, investigaciones y debate</x:v>
      </x:c>
      <x:c r="I76" s="308" t="str">
        <x:v>Organización sin fines de lucro; financiación filantrópica declarada</x:v>
      </x:c>
      <x:c r="J76" s="308" t="str">
        <x:v>ONG / editorialmente independiente</x:v>
      </x:c>
      <x:c r="K76" s="308" t="str">
        <x:v>Plural; énfasis en voces africanas</x:v>
      </x:c>
      <x:c r="L76" s="404" t="str">
        <x:v>Pan-africana / académica y periodística</x:v>
      </x:c>
      <x:c r="M76" s="309" t="n">
        <x:v>4</x:v>
      </x:c>
      <x:c r="N76" s="309" t="n">
        <x:v>4</x:v>
      </x:c>
      <x:c r="O76" s="309" t="n">
        <x:v>5</x:v>
      </x:c>
      <x:c r="P76" s="309" t="n">
        <x:v>4</x:v>
      </x:c>
      <x:c r="Q76" s="309" t="n">
        <x:v>4</x:v>
      </x:c>
      <x:c r="R76" s="309" t="n">
        <x:v>4</x:v>
      </x:c>
      <x:c r="S76" s="311" t="n">
        <x:v>4.2</x:v>
      </x:c>
      <x:c r="T76" s="309" t="str">
        <x:v>Media-alta</x:v>
      </x:c>
      <x:c r="U76" s="308" t="str">
        <x:v>Análisis profundo, debates y perspectivas africanas</x:v>
      </x:c>
      <x:c r="V76" s="308" t="str">
        <x:v>Moderada</x:v>
      </x:c>
      <x:c r="W76" s="308" t="str">
        <x:v>Datos primarios, prensa local y autores con enfoques distintos</x:v>
      </x:c>
      <x:c r="X76" s="308" t="str">
        <x:v>Nuevo recomendado</x:v>
      </x:c>
      <x:c r="Y76" s="308" t="str">
        <x:v>Prioriza autores africanos y declara independencia editorial respecto de las instituciones anfitrionas.</x:v>
      </x:c>
      <x:c r="Z76" s="308" t="str">
        <x:v>https://africanarguments.org/about-us-2026/</x:v>
      </x:c>
      <x:c r="AA76" s="310" t="n">
        <x:v>46219</x:v>
      </x:c>
    </x:row>
    <x:row r="77">
      <x:c r="A77" s="309" t="n">
        <x:v>77</x:v>
      </x:c>
      <x:c r="B77" s="312" t="str">
        <x:v>ISS Africa</x:v>
      </x:c>
      <x:c r="C77" s="313" t="str">
        <x:v>https://issafrica.org/</x:v>
      </x:c>
      <x:c r="D77" s="308" t="str">
        <x:v>Sede en Pretoria; oficinas regionales en Nairobi, Addis Ababa y Dakar</x:v>
      </x:c>
      <x:c r="E77" s="308" t="str">
        <x:v>África - Pancontinental</x:v>
      </x:c>
      <x:c r="F77" s="308" t="str">
        <x:v>Inglés/Francés</x:v>
      </x:c>
      <x:c r="G77" s="308" t="str">
        <x:v>Think tank</x:v>
      </x:c>
      <x:c r="H77" s="308" t="str">
        <x:v>Seguridad, gobernanza, crimen, paz y análisis de políticas</x:v>
      </x:c>
      <x:c r="I77" s="308" t="str">
        <x:v>Organización sin fines de lucro; donantes y socios institucionales</x:v>
      </x:c>
      <x:c r="J77" s="308" t="str">
        <x:v>ONG / think tank</x:v>
      </x:c>
      <x:c r="K77" s="308" t="str">
        <x:v>Centrista / seguridad humana</x:v>
      </x:c>
      <x:c r="L77" s="404" t="str">
        <x:v>Pan-africana / políticas públicas</x:v>
      </x:c>
      <x:c r="M77" s="309" t="n">
        <x:v>5</x:v>
      </x:c>
      <x:c r="N77" s="309" t="n">
        <x:v>5</x:v>
      </x:c>
      <x:c r="O77" s="309" t="n">
        <x:v>5</x:v>
      </x:c>
      <x:c r="P77" s="309" t="n">
        <x:v>5</x:v>
      </x:c>
      <x:c r="Q77" s="309" t="n">
        <x:v>4</x:v>
      </x:c>
      <x:c r="R77" s="309" t="n">
        <x:v>5</x:v>
      </x:c>
      <x:c r="S77" s="311" t="n">
        <x:v>4.8</x:v>
      </x:c>
      <x:c r="T77" s="309" t="str">
        <x:v>Alta</x:v>
      </x:c>
      <x:c r="U77" s="308" t="str">
        <x:v>Seguridad, gobernanza, crimen organizado y Unión Africana</x:v>
      </x:c>
      <x:c r="V77" s="308" t="str">
        <x:v>Moderada</x:v>
      </x:c>
      <x:c r="W77" s="308" t="str">
        <x:v>Datos oficiales, ACLED, ONU y análisis nacionales</x:v>
      </x:c>
      <x:c r="X77" s="308" t="str">
        <x:v>Nuevo recomendado</x:v>
      </x:c>
      <x:c r="Y77" s="308" t="str">
        <x:v>Aporta análisis producido desde oficinas africanas y orientado a decisiones de política pública.</x:v>
      </x:c>
      <x:c r="Z77" s="308" t="str">
        <x:v>https://issafrica.org/about-us</x:v>
      </x:c>
      <x:c r="AA77" s="310" t="n">
        <x:v>46219</x:v>
      </x:c>
    </x:row>
    <x:row r="78">
      <x:c r="A78" s="309" t="n">
        <x:v>76</x:v>
      </x:c>
      <x:c r="B78" s="312" t="str">
        <x:v>Africa Confidential</x:v>
      </x:c>
      <x:c r="C78" s="313" t="str">
        <x:v>https://www.africa-confidential.com/</x:v>
      </x:c>
      <x:c r="D78" s="308" t="str">
        <x:v>Reino Unido; cobertura especializada de todo el continente</x:v>
      </x:c>
      <x:c r="E78" s="308" t="str">
        <x:v>África - Pancontinental</x:v>
      </x:c>
      <x:c r="F78" s="308" t="str">
        <x:v>Inglés</x:v>
      </x:c>
      <x:c r="G78" s="308" t="str">
        <x:v>Boletín especializado</x:v>
      </x:c>
      <x:c r="H78" s="308" t="str">
        <x:v>Análisis político, económico y de seguridad; información de fuentes internas</x:v>
      </x:c>
      <x:c r="I78" s="308" t="str">
        <x:v>Suscripción comercial</x:v>
      </x:c>
      <x:c r="J78" s="308" t="str">
        <x:v>Privado</x:v>
      </x:c>
      <x:c r="K78" s="308" t="str">
        <x:v>Pragmático / élites y poder</x:v>
      </x:c>
      <x:c r="L78" s="404" t="str">
        <x:v>Pan-africana desde una publicación especializada británica</x:v>
      </x:c>
      <x:c r="M78" s="309" t="n">
        <x:v>4</x:v>
      </x:c>
      <x:c r="N78" s="309" t="n">
        <x:v>4</x:v>
      </x:c>
      <x:c r="O78" s="309" t="n">
        <x:v>4</x:v>
      </x:c>
      <x:c r="P78" s="309" t="n">
        <x:v>4</x:v>
      </x:c>
      <x:c r="Q78" s="309" t="n">
        <x:v>3</x:v>
      </x:c>
      <x:c r="R78" s="309" t="n">
        <x:v>4</x:v>
      </x:c>
      <x:c r="S78" s="311" t="n">
        <x:v>3.8</x:v>
      </x:c>
      <x:c r="T78" s="309" t="str">
        <x:v>Media-alta</x:v>
      </x:c>
      <x:c r="U78" s="308" t="str">
        <x:v>Análisis de élites, redes de poder y señales tempranas</x:v>
      </x:c>
      <x:c r="V78" s="308" t="str">
        <x:v>Alta para afirmaciones basadas en fuentes anónimas</x:v>
      </x:c>
      <x:c r="W78" s="308" t="str">
        <x:v>Documentos, prensa local, agencias y fuentes con posiciones contrapuestas</x:v>
      </x:c>
      <x:c r="X78" s="308" t="str">
        <x:v>Nuevo recomendado</x:v>
      </x:c>
      <x:c r="Y78" s="308" t="str">
        <x:v>Muy útil para hipótesis y contexto; las exclusivas de fuentes internas requieren confirmación adicional.</x:v>
      </x:c>
      <x:c r="Z78" s="308" t="str">
        <x:v>https://www.africa-confidential.com/about-africa-confidential</x:v>
      </x:c>
      <x:c r="AA78" s="310" t="n">
        <x:v>46219</x:v>
      </x:c>
    </x:row>
    <x:row r="79">
      <x:c r="A79" s="309" t="n">
        <x:v>30</x:v>
      </x:c>
      <x:c r="B79" s="312" t="str">
        <x:v>Middle East Eye</x:v>
      </x:c>
      <x:c r="C79" s="313" t="str">
        <x:v>https://www.middleeasteye.net/</x:v>
      </x:c>
      <x:c r="D79" s="308" t="str">
        <x:v>Reino Unido; foco regional</x:v>
      </x:c>
      <x:c r="E79" s="308" t="str">
        <x:v>Medio Oriente</x:v>
      </x:c>
      <x:c r="F79" s="308" t="str">
        <x:v>Inglés</x:v>
      </x:c>
      <x:c r="G79" s="308" t="str">
        <x:v>Medio regional independiente</x:v>
      </x:c>
      <x:c r="H79" s="308" t="str">
        <x:v>Noticias, investigación y opinión</x:v>
      </x:c>
      <x:c r="I79" s="308" t="str">
        <x:v>Privado; transparencia discutida</x:v>
      </x:c>
      <x:c r="J79" s="308" t="str">
        <x:v>Privado</x:v>
      </x:c>
      <x:c r="K79" s="308" t="str">
        <x:v>Centro-izquierda</x:v>
      </x:c>
      <x:c r="L79" s="404" t="str">
        <x:v>Regional / crítica de gobiernos occidentales e Israel</x:v>
      </x:c>
      <x:c r="M79" s="309" t="n">
        <x:v>3</x:v>
      </x:c>
      <x:c r="N79" s="309" t="n">
        <x:v>3</x:v>
      </x:c>
      <x:c r="O79" s="309" t="n">
        <x:v>2</x:v>
      </x:c>
      <x:c r="P79" s="309" t="n">
        <x:v>3</x:v>
      </x:c>
      <x:c r="Q79" s="309" t="n">
        <x:v>3</x:v>
      </x:c>
      <x:c r="R79" s="309" t="n">
        <x:v>3</x:v>
      </x:c>
      <x:c r="S79" s="311" t="n">
        <x:v>2.8</x:v>
      </x:c>
      <x:c r="T79" s="309" t="str">
        <x:v>Media</x:v>
      </x:c>
      <x:c r="U79" s="308" t="str">
        <x:v>Perspectivas regionales y temas subcubiertos</x:v>
      </x:c>
      <x:c r="V79" s="308" t="str">
        <x:v>Alta</x:v>
      </x:c>
      <x:c r="W79" s="308" t="str">
        <x:v>Reuters/AP, medios locales y documentos primarios</x:v>
      </x:c>
      <x:c r="X79" s="308" t="str">
        <x:v>Uso condicionado</x:v>
      </x:c>
      <x:c r="Y79" s="308" t="str">
        <x:v>Útil para diversidad de perspectiva; no usar en solitario.</x:v>
      </x:c>
      <x:c r="Z79" s="308" t="str">
        <x:v>https://www.middleeasteye.net/</x:v>
      </x:c>
      <x:c r="AA79" s="310" t="n">
        <x:v>46219</x:v>
      </x:c>
    </x:row>
    <x:row r="80">
      <x:c r="A80" s="309" t="n">
        <x:v>35</x:v>
      </x:c>
      <x:c r="B80" s="312" t="str">
        <x:v>Eurasia Group</x:v>
      </x:c>
      <x:c r="C80" s="313" t="str">
        <x:v>https://www.eurasiagroup.net/</x:v>
      </x:c>
      <x:c r="D80" s="308" t="str">
        <x:v>Estados Unidos; alcance global</x:v>
      </x:c>
      <x:c r="E80" s="308" t="str">
        <x:v>Global</x:v>
      </x:c>
      <x:c r="F80" s="308" t="str">
        <x:v>Inglés</x:v>
      </x:c>
      <x:c r="G80" s="308" t="str">
        <x:v>Consultoría</x:v>
      </x:c>
      <x:c r="H80" s="308" t="str">
        <x:v>Riesgo político y escenarios</x:v>
      </x:c>
      <x:c r="I80" s="308" t="str">
        <x:v>Privado comercial</x:v>
      </x:c>
      <x:c r="J80" s="308" t="str">
        <x:v>Privado</x:v>
      </x:c>
      <x:c r="K80" s="308" t="str">
        <x:v>Pragmática / promercado</x:v>
      </x:c>
      <x:c r="L80" s="404" t="str">
        <x:v>Riesgo para empresas e inversores</x:v>
      </x:c>
      <x:c r="M80" s="309" t="n">
        <x:v>4</x:v>
      </x:c>
      <x:c r="N80" s="309" t="n">
        <x:v>3</x:v>
      </x:c>
      <x:c r="O80" s="309" t="n">
        <x:v>4</x:v>
      </x:c>
      <x:c r="P80" s="309" t="n">
        <x:v>4</x:v>
      </x:c>
      <x:c r="Q80" s="309" t="n">
        <x:v>3</x:v>
      </x:c>
      <x:c r="R80" s="309" t="n">
        <x:v>4</x:v>
      </x:c>
      <x:c r="S80" s="311" t="n">
        <x:v>3.7</x:v>
      </x:c>
      <x:c r="T80" s="309" t="str">
        <x:v>Media-alta</x:v>
      </x:c>
      <x:c r="U80" s="308" t="str">
        <x:v>Escenarios y riesgo geopolítico</x:v>
      </x:c>
      <x:c r="V80" s="308" t="str">
        <x:v>Moderada</x:v>
      </x:c>
      <x:c r="W80" s="308" t="str">
        <x:v>Fuentes públicas, bancos centrales y análisis alternativos</x:v>
      </x:c>
      <x:c r="X80" s="308" t="str">
        <x:v>Activo</x:v>
      </x:c>
      <x:c r="Y80" s="308" t="str">
        <x:v>Distinguir investigación pública de productos comerciales.</x:v>
      </x:c>
      <x:c r="Z80" s="308" t="str">
        <x:v>https://www.eurasiagroup.net/</x:v>
      </x:c>
      <x:c r="AA80" s="310" t="n">
        <x:v>46219</x:v>
      </x:c>
    </x:row>
    <x:row r="81">
      <x:c r="A81" s="309" t="n">
        <x:v>70</x:v>
      </x:c>
      <x:c r="B81" s="312" t="str">
        <x:v>Meduza</x:v>
      </x:c>
      <x:c r="C81" s="313" t="str">
        <x:v>https://meduza.io/en</x:v>
      </x:c>
      <x:c r="D81" s="308" t="str">
        <x:v>Exilio; foco en Rusia</x:v>
      </x:c>
      <x:c r="E81" s="308" t="str">
        <x:v>Rusia/Europa Oriental</x:v>
      </x:c>
      <x:c r="F81" s="308" t="str">
        <x:v>Ruso/Inglés</x:v>
      </x:c>
      <x:c r="G81" s="308" t="str">
        <x:v>Medio independiente en exilio</x:v>
      </x:c>
      <x:c r="H81" s="308" t="str">
        <x:v>Noticias e investigación</x:v>
      </x:c>
      <x:c r="I81" s="308" t="str">
        <x:v>Independiente / donaciones</x:v>
      </x:c>
      <x:c r="J81" s="308" t="str">
        <x:v>Independiente</x:v>
      </x:c>
      <x:c r="K81" s="308" t="str">
        <x:v>Liberal / crítica del Kremlin</x:v>
      </x:c>
      <x:c r="L81" s="404" t="str">
        <x:v>Rusa independiente</x:v>
      </x:c>
      <x:c r="M81" s="309" t="n">
        <x:v>4</x:v>
      </x:c>
      <x:c r="N81" s="309" t="n">
        <x:v>4</x:v>
      </x:c>
      <x:c r="O81" s="309" t="n">
        <x:v>4</x:v>
      </x:c>
      <x:c r="P81" s="309" t="n">
        <x:v>4</x:v>
      </x:c>
      <x:c r="Q81" s="309" t="n">
        <x:v>4</x:v>
      </x:c>
      <x:c r="R81" s="309" t="n">
        <x:v>4</x:v>
      </x:c>
      <x:c r="S81" s="311" t="n">
        <x:v>4</x:v>
      </x:c>
      <x:c r="T81" s="309" t="str">
        <x:v>Media-alta</x:v>
      </x:c>
      <x:c r="U81" s="308" t="str">
        <x:v>Rusia, sociedad y política interna</x:v>
      </x:c>
      <x:c r="V81" s="308" t="str">
        <x:v>Moderada-alta</x:v>
      </x:c>
      <x:c r="W81" s="308" t="str">
        <x:v>Reuters, Novaya Gazeta Europe y documentos</x:v>
      </x:c>
      <x:c r="X81" s="308" t="str">
        <x:v>Nuevo recomendado</x:v>
      </x:c>
      <x:c r="Y81" s="308"/>
      <x:c r="Z81" s="308" t="str">
        <x:v>https://meduza.io/en</x:v>
      </x:c>
      <x:c r="AA81" s="310" t="n">
        <x:v>46219</x:v>
      </x:c>
    </x:row>
    <x:row r="82">
      <x:c r="A82" s="309" t="n">
        <x:v>71</x:v>
      </x:c>
      <x:c r="B82" s="312" t="str">
        <x:v>Novaya Gazeta Europe</x:v>
      </x:c>
      <x:c r="C82" s="313" t="str">
        <x:v>https://novayagazeta.eu/</x:v>
      </x:c>
      <x:c r="D82" s="308" t="str">
        <x:v>Exilio europeo; foco en Rusia</x:v>
      </x:c>
      <x:c r="E82" s="308" t="str">
        <x:v>Rusia/Europa Oriental</x:v>
      </x:c>
      <x:c r="F82" s="308" t="str">
        <x:v>Ruso/Inglés</x:v>
      </x:c>
      <x:c r="G82" s="308" t="str">
        <x:v>Medio independiente en exilio</x:v>
      </x:c>
      <x:c r="H82" s="308" t="str">
        <x:v>Investigación y noticias</x:v>
      </x:c>
      <x:c r="I82" s="308" t="str">
        <x:v>Independiente</x:v>
      </x:c>
      <x:c r="J82" s="308" t="str">
        <x:v>Independiente</x:v>
      </x:c>
      <x:c r="K82" s="308" t="str">
        <x:v>Liberal / derechos humanos</x:v>
      </x:c>
      <x:c r="L82" s="404" t="str">
        <x:v>Rusa independiente</x:v>
      </x:c>
      <x:c r="M82" s="309" t="n">
        <x:v>4</x:v>
      </x:c>
      <x:c r="N82" s="309" t="n">
        <x:v>4</x:v>
      </x:c>
      <x:c r="O82" s="309" t="n">
        <x:v>4</x:v>
      </x:c>
      <x:c r="P82" s="309" t="n">
        <x:v>4</x:v>
      </x:c>
      <x:c r="Q82" s="309" t="n">
        <x:v>4</x:v>
      </x:c>
      <x:c r="R82" s="309" t="n">
        <x:v>4</x:v>
      </x:c>
      <x:c r="S82" s="311" t="n">
        <x:v>4</x:v>
      </x:c>
      <x:c r="T82" s="309" t="str">
        <x:v>Media-alta</x:v>
      </x:c>
      <x:c r="U82" s="308" t="str">
        <x:v>Investigación sobre Rusia y derechos humanos</x:v>
      </x:c>
      <x:c r="V82" s="308" t="str">
        <x:v>Moderada-alta</x:v>
      </x:c>
      <x:c r="W82" s="308" t="str">
        <x:v>Reuters, Meduza y documentos primarios</x:v>
      </x:c>
      <x:c r="X82" s="308" t="str">
        <x:v>Nuevo recomendado</x:v>
      </x:c>
      <x:c r="Y82" s="308"/>
      <x:c r="Z82" s="308" t="str">
        <x:v>https://novayagazeta.eu/</x:v>
      </x:c>
      <x:c r="AA82" s="310" t="n">
        <x:v>46219</x:v>
      </x:c>
    </x:row>
    <x:row r="83">
      <x:c r="A83" s="309" t="n">
        <x:v>45</x:v>
      </x:c>
      <x:c r="B83" s="312" t="str">
        <x:v>TASS</x:v>
      </x:c>
      <x:c r="C83" s="313" t="str">
        <x:v>https://tass.com/</x:v>
      </x:c>
      <x:c r="D83" s="308" t="str">
        <x:v>Rusia; alcance internacional</x:v>
      </x:c>
      <x:c r="E83" s="308" t="str">
        <x:v>Rusia/Global</x:v>
      </x:c>
      <x:c r="F83" s="308" t="str">
        <x:v>Ruso/Inglés</x:v>
      </x:c>
      <x:c r="G83" s="308" t="str">
        <x:v>Agencia estatal</x:v>
      </x:c>
      <x:c r="H83" s="308" t="str">
        <x:v>Noticias y narrativa oficial</x:v>
      </x:c>
      <x:c r="I83" s="308" t="str">
        <x:v>Financiación estatal rusa</x:v>
      </x:c>
      <x:c r="J83" s="308" t="str">
        <x:v>Estatal</x:v>
      </x:c>
      <x:c r="K83" s="308" t="str">
        <x:v>Línea oficial</x:v>
      </x:c>
      <x:c r="L83" s="404" t="str">
        <x:v>Rusia estatal</x:v>
      </x:c>
      <x:c r="M83" s="309" t="n">
        <x:v>2</x:v>
      </x:c>
      <x:c r="N83" s="309" t="n">
        <x:v>1</x:v>
      </x:c>
      <x:c r="O83" s="309" t="n">
        <x:v>4</x:v>
      </x:c>
      <x:c r="P83" s="309" t="n">
        <x:v>2</x:v>
      </x:c>
      <x:c r="Q83" s="309" t="n">
        <x:v>1</x:v>
      </x:c>
      <x:c r="R83" s="309" t="n">
        <x:v>2</x:v>
      </x:c>
      <x:c r="S83" s="311" t="n">
        <x:v>2</x:v>
      </x:c>
      <x:c r="T83" s="309" t="str">
        <x:v>Baja</x:v>
      </x:c>
      <x:c r="U83" s="308" t="str">
        <x:v>Conocer declaraciones y narrativa oficial rusa</x:v>
      </x:c>
      <x:c r="V83" s="308" t="str">
        <x:v>Obligatoria</x:v>
      </x:c>
      <x:c r="W83" s="308" t="str">
        <x:v>Reuters/AP, medios rusos independientes y evidencia primaria</x:v>
      </x:c>
      <x:c r="X83" s="308" t="str">
        <x:v>Uso condicionado</x:v>
      </x:c>
      <x:c r="Y83" s="308"/>
      <x:c r="Z83" s="308" t="str">
        <x:v>https://tass.com/</x:v>
      </x:c>
      <x:c r="AA83" s="310" t="n">
        <x:v>46219</x:v>
      </x:c>
    </x:row>
    <x:row r="84">
      <x:c r="A84" s="309" t="n">
        <x:v>48</x:v>
      </x:c>
      <x:c r="B84" s="312" t="str">
        <x:v>CNA</x:v>
      </x:c>
      <x:c r="C84" s="313" t="str">
        <x:v>https://www.channelnewsasia.com/</x:v>
      </x:c>
      <x:c r="D84" s="308" t="str">
        <x:v>Singapur; alcance regional</x:v>
      </x:c>
      <x:c r="E84" s="308" t="str">
        <x:v>Asia</x:v>
      </x:c>
      <x:c r="F84" s="308" t="str">
        <x:v>Inglés y lenguas regionales</x:v>
      </x:c>
      <x:c r="G84" s="308" t="str">
        <x:v>Radiodifusor regional</x:v>
      </x:c>
      <x:c r="H84" s="308" t="str">
        <x:v>Noticias y análisis del Sudeste Asiático</x:v>
      </x:c>
      <x:c r="I84" s="308" t="str">
        <x:v>Empresa de medios con vínculo público</x:v>
      </x:c>
      <x:c r="J84" s="308" t="str">
        <x:v>Público/comercial</x:v>
      </x:c>
      <x:c r="K84" s="308" t="str">
        <x:v>Centro / institucional</x:v>
      </x:c>
      <x:c r="L84" s="404" t="str">
        <x:v>Singapur / ASEAN</x:v>
      </x:c>
      <x:c r="M84" s="309" t="n">
        <x:v>4</x:v>
      </x:c>
      <x:c r="N84" s="309" t="n">
        <x:v>3</x:v>
      </x:c>
      <x:c r="O84" s="309" t="n">
        <x:v>4</x:v>
      </x:c>
      <x:c r="P84" s="309" t="n">
        <x:v>4</x:v>
      </x:c>
      <x:c r="Q84" s="309" t="n">
        <x:v>4</x:v>
      </x:c>
      <x:c r="R84" s="309" t="n">
        <x:v>5</x:v>
      </x:c>
      <x:c r="S84" s="311" t="n">
        <x:v>4</x:v>
      </x:c>
      <x:c r="T84" s="309" t="str">
        <x:v>Media-alta</x:v>
      </x:c>
      <x:c r="U84" s="308" t="str">
        <x:v>Sudeste Asiático y ASEAN</x:v>
      </x:c>
      <x:c r="V84" s="308" t="str">
        <x:v>Moderada</x:v>
      </x:c>
      <x:c r="W84" s="308" t="str">
        <x:v>Reuters, medios nacionales y fuentes locales</x:v>
      </x:c>
      <x:c r="X84" s="308" t="str">
        <x:v>Nuevo recomendado</x:v>
      </x:c>
      <x:c r="Y84" s="308"/>
      <x:c r="Z84" s="308" t="str">
        <x:v>https://www.channelnewsasia.com/</x:v>
      </x:c>
      <x:c r="AA84" s="310" t="n">
        <x:v>46219</x:v>
      </x:c>
    </x:row>
    <x:row r="85">
      <x:c r="A85" s="309" t="n">
        <x:v>58</x:v>
      </x:c>
      <x:c r="B85" s="312" t="str">
        <x:v>United Nations (ONU)</x:v>
      </x:c>
      <x:c r="C85" s="313" t="str">
        <x:v>https://www.un.org/</x:v>
      </x:c>
      <x:c r="D85" s="308" t="str">
        <x:v>Organización internacional; sede principal en Nueva York</x:v>
      </x:c>
      <x:c r="E85" s="308" t="str">
        <x:v>Global</x:v>
      </x:c>
      <x:c r="F85" s="308" t="str">
        <x:v>Multilingüe</x:v>
      </x:c>
      <x:c r="G85" s="308" t="str">
        <x:v>Organismo internacional</x:v>
      </x:c>
      <x:c r="H85" s="308" t="str">
        <x:v>Documentos, resoluciones, datos y declaraciones</x:v>
      </x:c>
      <x:c r="I85" s="308" t="str">
        <x:v>Estados miembros</x:v>
      </x:c>
      <x:c r="J85" s="308" t="str">
        <x:v>Internacional</x:v>
      </x:c>
      <x:c r="K85" s="308" t="str">
        <x:v>Multilateral</x:v>
      </x:c>
      <x:c r="L85" s="404" t="str">
        <x:v>Sistema ONU</x:v>
      </x:c>
      <x:c r="M85" s="309" t="n">
        <x:v>4</x:v>
      </x:c>
      <x:c r="N85" s="309" t="n">
        <x:v>3</x:v>
      </x:c>
      <x:c r="O85" s="309" t="n">
        <x:v>5</x:v>
      </x:c>
      <x:c r="P85" s="309" t="n">
        <x:v>4</x:v>
      </x:c>
      <x:c r="Q85" s="309" t="n">
        <x:v>4</x:v>
      </x:c>
      <x:c r="R85" s="309" t="n">
        <x:v>5</x:v>
      </x:c>
      <x:c r="S85" s="311" t="n">
        <x:v>4.2</x:v>
      </x:c>
      <x:c r="T85" s="309" t="str">
        <x:v>Media-alta</x:v>
      </x:c>
      <x:c r="U85" s="308" t="str">
        <x:v>Resoluciones, informes y posiciones oficiales</x:v>
      </x:c>
      <x:c r="V85" s="308" t="str">
        <x:v>Moderada</x:v>
      </x:c>
      <x:c r="W85" s="308" t="str">
        <x:v>Agencias, Estados miembros y fuentes independientes</x:v>
      </x:c>
      <x:c r="X85" s="308" t="str">
        <x:v>Activo</x:v>
      </x:c>
      <x:c r="Y85" s="308" t="str">
        <x:v>Corregido: no asignar como país Estados Unidos.</x:v>
      </x:c>
      <x:c r="Z85" s="308" t="str">
        <x:v>https://www.un.org/en/about-us</x:v>
      </x:c>
      <x:c r="AA85" s="310" t="n">
        <x:v>46219</x:v>
      </x:c>
    </x:row>
    <x:row r="86">
      <x:c r="A86" s="309" t="n">
        <x:v>69</x:v>
      </x:c>
      <x:c r="B86" s="312" t="str">
        <x:v>Daily Maverick</x:v>
      </x:c>
      <x:c r="C86" s="313" t="str">
        <x:v>https://www.dailymaverick.co.za/</x:v>
      </x:c>
      <x:c r="D86" s="308" t="str">
        <x:v>Sudáfrica</x:v>
      </x:c>
      <x:c r="E86" s="308" t="str">
        <x:v>África Austral</x:v>
      </x:c>
      <x:c r="F86" s="308" t="str">
        <x:v>Inglés</x:v>
      </x:c>
      <x:c r="G86" s="308" t="str">
        <x:v>Medio independiente</x:v>
      </x:c>
      <x:c r="H86" s="308" t="str">
        <x:v>Noticias, investigación y opinión</x:v>
      </x:c>
      <x:c r="I86" s="308" t="str">
        <x:v>Privado/independiente</x:v>
      </x:c>
      <x:c r="J86" s="308" t="str">
        <x:v>Independiente</x:v>
      </x:c>
      <x:c r="K86" s="308" t="str">
        <x:v>Liberal / reformista</x:v>
      </x:c>
      <x:c r="L86" s="404" t="str">
        <x:v>Sudafricana / africana</x:v>
      </x:c>
      <x:c r="M86" s="309" t="n">
        <x:v>4</x:v>
      </x:c>
      <x:c r="N86" s="309" t="n">
        <x:v>4</x:v>
      </x:c>
      <x:c r="O86" s="309" t="n">
        <x:v>4</x:v>
      </x:c>
      <x:c r="P86" s="309" t="n">
        <x:v>4</x:v>
      </x:c>
      <x:c r="Q86" s="309" t="n">
        <x:v>4</x:v>
      </x:c>
      <x:c r="R86" s="309" t="n">
        <x:v>4</x:v>
      </x:c>
      <x:c r="S86" s="311" t="n">
        <x:v>4</x:v>
      </x:c>
      <x:c r="T86" s="309" t="str">
        <x:v>Media-alta</x:v>
      </x:c>
      <x:c r="U86" s="308" t="str">
        <x:v>Sudáfrica y África subsahariana</x:v>
      </x:c>
      <x:c r="V86" s="308" t="str">
        <x:v>Moderada</x:v>
      </x:c>
      <x:c r="W86" s="308" t="str">
        <x:v>Reuters, AFP y prensa regional</x:v>
      </x:c>
      <x:c r="X86" s="308" t="str">
        <x:v>Nuevo recomendado</x:v>
      </x:c>
      <x:c r="Y86" s="308"/>
      <x:c r="Z86" s="308" t="str">
        <x:v>https://www.dailymaverick.co.za/</x:v>
      </x:c>
      <x:c r="AA86" s="310" t="n">
        <x:v>46219</x:v>
      </x:c>
    </x:row>
    <x:row r="87">
      <x:c r="A87" s="309" t="n">
        <x:v>91</x:v>
      </x:c>
      <x:c r="B87" s="312" t="str">
        <x:v>Mail &amp; Guardian</x:v>
      </x:c>
      <x:c r="C87" s="313" t="str">
        <x:v>https://mg.co.za/</x:v>
      </x:c>
      <x:c r="D87" s="308" t="str">
        <x:v>Sudáfrica; cobertura de África Austral</x:v>
      </x:c>
      <x:c r="E87" s="308" t="str">
        <x:v>África Austral</x:v>
      </x:c>
      <x:c r="F87" s="308" t="str">
        <x:v>Inglés</x:v>
      </x:c>
      <x:c r="G87" s="308" t="str">
        <x:v>Medio generalista / semanal</x:v>
      </x:c>
      <x:c r="H87" s="308" t="str">
        <x:v>Noticias, investigación, análisis y opinión</x:v>
      </x:c>
      <x:c r="I87" s="308" t="str">
        <x:v>Privado comercial</x:v>
      </x:c>
      <x:c r="J87" s="308" t="str">
        <x:v>Privado</x:v>
      </x:c>
      <x:c r="K87" s="308" t="str">
        <x:v>Centro-izquierda / liberal</x:v>
      </x:c>
      <x:c r="L87" s="404" t="str">
        <x:v>Sudafricana / regional</x:v>
      </x:c>
      <x:c r="M87" s="309" t="n">
        <x:v>4</x:v>
      </x:c>
      <x:c r="N87" s="309" t="n">
        <x:v>4</x:v>
      </x:c>
      <x:c r="O87" s="309" t="n">
        <x:v>4</x:v>
      </x:c>
      <x:c r="P87" s="309" t="n">
        <x:v>4</x:v>
      </x:c>
      <x:c r="Q87" s="309" t="n">
        <x:v>4</x:v>
      </x:c>
      <x:c r="R87" s="309" t="n">
        <x:v>4</x:v>
      </x:c>
      <x:c r="S87" s="311" t="n">
        <x:v>4</x:v>
      </x:c>
      <x:c r="T87" s="309" t="str">
        <x:v>Media-alta</x:v>
      </x:c>
      <x:c r="U87" s="308" t="str">
        <x:v>Sudáfrica, política regional, medioambiente y cultura</x:v>
      </x:c>
      <x:c r="V87" s="308" t="str">
        <x:v>Moderada</x:v>
      </x:c>
      <x:c r="W87" s="308" t="str">
        <x:v>Daily Maverick, amaBhungane, agencias y documentos</x:v>
      </x:c>
      <x:c r="X87" s="308" t="str">
        <x:v>Nuevo recomendado</x:v>
      </x:c>
      <x:c r="Y87" s="308" t="str">
        <x:v>Medio de referencia sudafricano; separar claramente investigación, noticias y comentario.</x:v>
      </x:c>
      <x:c r="Z87" s="308" t="str">
        <x:v>https://mg.co.za/about-us/</x:v>
      </x:c>
      <x:c r="AA87" s="310" t="n">
        <x:v>46219</x:v>
      </x:c>
    </x:row>
    <x:row r="88">
      <x:c r="A88" s="309" t="n">
        <x:v>90</x:v>
      </x:c>
      <x:c r="B88" s="312" t="str">
        <x:v>amaBhungane</x:v>
      </x:c>
      <x:c r="C88" s="313" t="str">
        <x:v>https://amabhungane.org/</x:v>
      </x:c>
      <x:c r="D88" s="308" t="str">
        <x:v>Sudáfrica; investigaciones con alcance regional</x:v>
      </x:c>
      <x:c r="E88" s="308" t="str">
        <x:v>África Austral</x:v>
      </x:c>
      <x:c r="F88" s="308" t="str">
        <x:v>Inglés</x:v>
      </x:c>
      <x:c r="G88" s="308" t="str">
        <x:v>Centro de investigación periodística</x:v>
      </x:c>
      <x:c r="H88" s="308" t="str">
        <x:v>Investigaciones de corrupción, dinero y abuso de poder</x:v>
      </x:c>
      <x:c r="I88" s="308" t="str">
        <x:v>Organización independiente sin fines de lucro</x:v>
      </x:c>
      <x:c r="J88" s="308" t="str">
        <x:v>Independiente</x:v>
      </x:c>
      <x:c r="K88" s="308" t="str">
        <x:v>Rendición de cuentas / transparencia</x:v>
      </x:c>
      <x:c r="L88" s="404" t="str">
        <x:v>Sudafricana / África Austral</x:v>
      </x:c>
      <x:c r="M88" s="309" t="n">
        <x:v>5</x:v>
      </x:c>
      <x:c r="N88" s="309" t="n">
        <x:v>5</x:v>
      </x:c>
      <x:c r="O88" s="309" t="n">
        <x:v>5</x:v>
      </x:c>
      <x:c r="P88" s="309" t="n">
        <x:v>5</x:v>
      </x:c>
      <x:c r="Q88" s="309" t="n">
        <x:v>5</x:v>
      </x:c>
      <x:c r="R88" s="309" t="n">
        <x:v>5</x:v>
      </x:c>
      <x:c r="S88" s="311" t="n">
        <x:v>5</x:v>
      </x:c>
      <x:c r="T88" s="309" t="str">
        <x:v>Alta</x:v>
      </x:c>
      <x:c r="U88" s="308" t="str">
        <x:v>Investigaciones complejas, corrupción y captura del Estado</x:v>
      </x:c>
      <x:c r="V88" s="308" t="str">
        <x:v>Baja a moderada</x:v>
      </x:c>
      <x:c r="W88" s="308" t="str">
        <x:v>Documentos originales, respuestas de implicados y registros corporativos</x:v>
      </x:c>
      <x:c r="X88" s="308" t="str">
        <x:v>Nuevo recomendado</x:v>
      </x:c>
      <x:c r="Y88" s="308" t="str">
        <x:v>Redacción sin fines de lucro especializada en investigaciones documentales y de largo plazo.</x:v>
      </x:c>
      <x:c r="Z88" s="308" t="str">
        <x:v>https://amabhungane.org/about/</x:v>
      </x:c>
      <x:c r="AA88" s="310" t="n">
        <x:v>46219</x:v>
      </x:c>
    </x:row>
    <x:row r="89">
      <x:c r="A89" s="309" t="n">
        <x:v>51</x:v>
      </x:c>
      <x:c r="B89" s="312" t="str">
        <x:v>Yonhap News Agency</x:v>
      </x:c>
      <x:c r="C89" s="313" t="str">
        <x:v>https://en.yna.co.kr/</x:v>
      </x:c>
      <x:c r="D89" s="308" t="str">
        <x:v>Corea del Sur</x:v>
      </x:c>
      <x:c r="E89" s="308" t="str">
        <x:v>Asia</x:v>
      </x:c>
      <x:c r="F89" s="308" t="str">
        <x:v>Coreano/Inglés</x:v>
      </x:c>
      <x:c r="G89" s="308" t="str">
        <x:v>Agencia de noticias</x:v>
      </x:c>
      <x:c r="H89" s="308" t="str">
        <x:v>Noticias nacionales y regionales</x:v>
      </x:c>
      <x:c r="I89" s="308" t="str">
        <x:v>Agencia con apoyo público</x:v>
      </x:c>
      <x:c r="J89" s="308" t="str">
        <x:v>Institucional</x:v>
      </x:c>
      <x:c r="K89" s="308" t="str">
        <x:v>Centro / institucional</x:v>
      </x:c>
      <x:c r="L89" s="404" t="str">
        <x:v>Surcoreana</x:v>
      </x:c>
      <x:c r="M89" s="309" t="n">
        <x:v>4</x:v>
      </x:c>
      <x:c r="N89" s="309" t="n">
        <x:v>3</x:v>
      </x:c>
      <x:c r="O89" s="309" t="n">
        <x:v>4</x:v>
      </x:c>
      <x:c r="P89" s="309" t="n">
        <x:v>4</x:v>
      </x:c>
      <x:c r="Q89" s="309" t="n">
        <x:v>4</x:v>
      </x:c>
      <x:c r="R89" s="309" t="n">
        <x:v>5</x:v>
      </x:c>
      <x:c r="S89" s="311" t="n">
        <x:v>4</x:v>
      </x:c>
      <x:c r="T89" s="309" t="str">
        <x:v>Media-alta</x:v>
      </x:c>
      <x:c r="U89" s="308" t="str">
        <x:v>Corea y península coreana</x:v>
      </x:c>
      <x:c r="V89" s="308" t="str">
        <x:v>Moderada</x:v>
      </x:c>
      <x:c r="W89" s="308" t="str">
        <x:v>Reuters, KCNA como fuente primaria y medios regionales</x:v>
      </x:c>
      <x:c r="X89" s="308" t="str">
        <x:v>Nuevo recomendado</x:v>
      </x:c>
      <x:c r="Y89" s="308"/>
      <x:c r="Z89" s="308" t="str">
        <x:v>https://en.yna.co.kr/</x:v>
      </x:c>
      <x:c r="AA89" s="310" t="n">
        <x:v>46219</x:v>
      </x:c>
    </x:row>
    <x:row r="90">
      <x:c r="A90" s="309" t="n">
        <x:v>36</x:v>
      </x:c>
      <x:c r="B90" s="312" t="str">
        <x:v>IISS</x:v>
      </x:c>
      <x:c r="C90" s="313" t="str">
        <x:v>https://www.iiss.org/</x:v>
      </x:c>
      <x:c r="D90" s="308" t="str">
        <x:v>Reino Unido; alcance global</x:v>
      </x:c>
      <x:c r="E90" s="308" t="str">
        <x:v>Global</x:v>
      </x:c>
      <x:c r="F90" s="308" t="str">
        <x:v>Inglés</x:v>
      </x:c>
      <x:c r="G90" s="308" t="str">
        <x:v>Think tank</x:v>
      </x:c>
      <x:c r="H90" s="308" t="str">
        <x:v>Defensa, seguridad y equilibrio militar</x:v>
      </x:c>
      <x:c r="I90" s="308" t="str">
        <x:v>Organización sin fines de lucro</x:v>
      </x:c>
      <x:c r="J90" s="308" t="str">
        <x:v>ONG/think tank</x:v>
      </x:c>
      <x:c r="K90" s="308" t="str">
        <x:v>Centrista / seguridad nacional</x:v>
      </x:c>
      <x:c r="L90" s="404" t="str">
        <x:v>Transatlántica</x:v>
      </x:c>
      <x:c r="M90" s="309" t="n">
        <x:v>5</x:v>
      </x:c>
      <x:c r="N90" s="309" t="n">
        <x:v>4</x:v>
      </x:c>
      <x:c r="O90" s="309" t="n">
        <x:v>5</x:v>
      </x:c>
      <x:c r="P90" s="309" t="n">
        <x:v>5</x:v>
      </x:c>
      <x:c r="Q90" s="309" t="n">
        <x:v>4</x:v>
      </x:c>
      <x:c r="R90" s="309" t="n">
        <x:v>5</x:v>
      </x:c>
      <x:c r="S90" s="311" t="n">
        <x:v>4.7</x:v>
      </x:c>
      <x:c r="T90" s="309" t="str">
        <x:v>Alta</x:v>
      </x:c>
      <x:c r="U90" s="308" t="str">
        <x:v>Defensa, capacidades militares y estrategia</x:v>
      </x:c>
      <x:c r="V90" s="308" t="str">
        <x:v>Moderada</x:v>
      </x:c>
      <x:c r="W90" s="308" t="str">
        <x:v>SIPRI, presupuestos y fuentes militares contrapuestas</x:v>
      </x:c>
      <x:c r="X90" s="308" t="str">
        <x:v>Activo</x:v>
      </x:c>
      <x:c r="Y90" s="308"/>
      <x:c r="Z90" s="308" t="str">
        <x:v>https://www.iiss.org/</x:v>
      </x:c>
      <x:c r="AA90" s="310" t="n">
        <x:v>46219</x:v>
      </x:c>
    </x:row>
    <x:row r="91">
      <x:c r="A91" s="309" t="n">
        <x:v>7</x:v>
      </x:c>
      <x:c r="B91" s="312" t="str">
        <x:v>Politico</x:v>
      </x:c>
      <x:c r="C91" s="313" t="str">
        <x:v>https://www.politico.com/</x:v>
      </x:c>
      <x:c r="D91" s="308" t="str">
        <x:v>Estados Unidos / Europa</x:v>
      </x:c>
      <x:c r="E91" s="308" t="str">
        <x:v>Occidente</x:v>
      </x:c>
      <x:c r="F91" s="308" t="str">
        <x:v>Inglés</x:v>
      </x:c>
      <x:c r="G91" s="308" t="str">
        <x:v>Medio especializado</x:v>
      </x:c>
      <x:c r="H91" s="308" t="str">
        <x:v>Política pública y poder institucional</x:v>
      </x:c>
      <x:c r="I91" s="308" t="str">
        <x:v>Privado comercial</x:v>
      </x:c>
      <x:c r="J91" s="308" t="str">
        <x:v>Privado</x:v>
      </x:c>
      <x:c r="K91" s="308" t="str">
        <x:v>Centro</x:v>
      </x:c>
      <x:c r="L91" s="404" t="str">
        <x:v>Transatlántica / institucional</x:v>
      </x:c>
      <x:c r="M91" s="309" t="n">
        <x:v>4</x:v>
      </x:c>
      <x:c r="N91" s="309" t="n">
        <x:v>4</x:v>
      </x:c>
      <x:c r="O91" s="309" t="n">
        <x:v>4</x:v>
      </x:c>
      <x:c r="P91" s="309" t="n">
        <x:v>4</x:v>
      </x:c>
      <x:c r="Q91" s="309" t="n">
        <x:v>4</x:v>
      </x:c>
      <x:c r="R91" s="309" t="n">
        <x:v>4</x:v>
      </x:c>
      <x:c r="S91" s="311" t="n">
        <x:v>4</x:v>
      </x:c>
      <x:c r="T91" s="309" t="str">
        <x:v>Media-alta</x:v>
      </x:c>
      <x:c r="U91" s="308" t="str">
        <x:v>Política de EE. UU. y Unión Europea</x:v>
      </x:c>
      <x:c r="V91" s="308" t="str">
        <x:v>Moderada</x:v>
      </x:c>
      <x:c r="W91" s="308" t="str">
        <x:v>Documentos oficiales y agencias</x:v>
      </x:c>
      <x:c r="X91" s="308" t="str">
        <x:v>Activo</x:v>
      </x:c>
      <x:c r="Y91" s="308"/>
      <x:c r="Z91" s="308" t="str">
        <x:v>https://www.politico.com/</x:v>
      </x:c>
      <x:c r="AA91" s="310" t="n">
        <x:v>46219</x:v>
      </x:c>
    </x:row>
    <x:row r="92">
      <x:c r="A92" s="309" t="n">
        <x:v>80</x:v>
      </x:c>
      <x:c r="B92" s="312" t="str">
        <x:v>Inkyfada</x:v>
      </x:c>
      <x:c r="C92" s="313" t="str">
        <x:v>https://inkyfada.com/en/</x:v>
      </x:c>
      <x:c r="D92" s="308" t="str">
        <x:v>Túnez</x:v>
      </x:c>
      <x:c r="E92" s="308" t="str">
        <x:v>África del Norte</x:v>
      </x:c>
      <x:c r="F92" s="308" t="str">
        <x:v>Árabe/Francés/Inglés</x:v>
      </x:c>
      <x:c r="G92" s="308" t="str">
        <x:v>Medio independiente / investigación</x:v>
      </x:c>
      <x:c r="H92" s="308" t="str">
        <x:v>Investigación, datos, narrativas multimedia y explicadores</x:v>
      </x:c>
      <x:c r="I92" s="308" t="str">
        <x:v>Colectivo independiente sin fines de lucro; membresías y apoyos</x:v>
      </x:c>
      <x:c r="J92" s="308" t="str">
        <x:v>Independiente</x:v>
      </x:c>
      <x:c r="K92" s="308" t="str">
        <x:v>Progresista / derechos y transparencia</x:v>
      </x:c>
      <x:c r="L92" s="404" t="str">
        <x:v>Tunecina / magrebí</x:v>
      </x:c>
      <x:c r="M92" s="309" t="n">
        <x:v>4</x:v>
      </x:c>
      <x:c r="N92" s="309" t="n">
        <x:v>5</x:v>
      </x:c>
      <x:c r="O92" s="309" t="n">
        <x:v>5</x:v>
      </x:c>
      <x:c r="P92" s="309" t="n">
        <x:v>5</x:v>
      </x:c>
      <x:c r="Q92" s="309" t="n">
        <x:v>4</x:v>
      </x:c>
      <x:c r="R92" s="309" t="n">
        <x:v>5</x:v>
      </x:c>
      <x:c r="S92" s="311" t="n">
        <x:v>4.7</x:v>
      </x:c>
      <x:c r="T92" s="309" t="str">
        <x:v>Alta</x:v>
      </x:c>
      <x:c r="U92" s="308" t="str">
        <x:v>Túnez, migración, corrupción, justicia y Magreb</x:v>
      </x:c>
      <x:c r="V92" s="308" t="str">
        <x:v>Moderada</x:v>
      </x:c>
      <x:c r="W92" s="308" t="str">
        <x:v>Documentos, medios magrebíes, agencias y fuentes oficiales</x:v>
      </x:c>
      <x:c r="X92" s="308" t="str">
        <x:v>Nuevo recomendado</x:v>
      </x:c>
      <x:c r="Y92" s="308" t="str">
        <x:v>Colectivo independiente fundado en Túnez con fuerte capacidad de investigación y periodismo de datos.</x:v>
      </x:c>
      <x:c r="Z92" s="308" t="str">
        <x:v>https://inkyfada.com/en/apropos/</x:v>
      </x:c>
      <x:c r="AA92" s="310" t="n">
        <x:v>46219</x:v>
      </x:c>
    </x:row>
    <x:row r="93">
      <x:c r="A93" s="309" t="n">
        <x:v>72</x:v>
      </x:c>
      <x:c r="B93" s="312" t="str">
        <x:v>The Kyiv Independent</x:v>
      </x:c>
      <x:c r="C93" s="313" t="str">
        <x:v>https://kyivindependent.com/</x:v>
      </x:c>
      <x:c r="D93" s="308" t="str">
        <x:v>Ucrania</x:v>
      </x:c>
      <x:c r="E93" s="308" t="str">
        <x:v>Europa Oriental</x:v>
      </x:c>
      <x:c r="F93" s="308" t="str">
        <x:v>Inglés</x:v>
      </x:c>
      <x:c r="G93" s="308" t="str">
        <x:v>Medio independiente</x:v>
      </x:c>
      <x:c r="H93" s="308" t="str">
        <x:v>Noticias e investigación</x:v>
      </x:c>
      <x:c r="I93" s="308" t="str">
        <x:v>Independiente / membresías y donaciones</x:v>
      </x:c>
      <x:c r="J93" s="308" t="str">
        <x:v>Independiente</x:v>
      </x:c>
      <x:c r="K93" s="308" t="str">
        <x:v>Pro-ucraniano</x:v>
      </x:c>
      <x:c r="L93" s="404" t="str">
        <x:v>Ucraniana</x:v>
      </x:c>
      <x:c r="M93" s="309" t="n">
        <x:v>4</x:v>
      </x:c>
      <x:c r="N93" s="309" t="n">
        <x:v>4</x:v>
      </x:c>
      <x:c r="O93" s="309" t="n">
        <x:v>4</x:v>
      </x:c>
      <x:c r="P93" s="309" t="n">
        <x:v>4</x:v>
      </x:c>
      <x:c r="Q93" s="309" t="n">
        <x:v>4</x:v>
      </x:c>
      <x:c r="R93" s="309" t="n">
        <x:v>4</x:v>
      </x:c>
      <x:c r="S93" s="311" t="n">
        <x:v>4</x:v>
      </x:c>
      <x:c r="T93" s="309" t="str">
        <x:v>Media-alta</x:v>
      </x:c>
      <x:c r="U93" s="308" t="str">
        <x:v>Ucrania y guerra ruso-ucraniana</x:v>
      </x:c>
      <x:c r="V93" s="308" t="str">
        <x:v>Alta en afirmaciones operativas</x:v>
      </x:c>
      <x:c r="W93" s="308" t="str">
        <x:v>Reuters/AP, ONU, OSINT y fuentes rusas independientes</x:v>
      </x:c>
      <x:c r="X93" s="308" t="str">
        <x:v>Nuevo recomendado</x:v>
      </x:c>
      <x:c r="Y93" s="308"/>
      <x:c r="Z93" s="308" t="str">
        <x:v>https://kyivindependent.com/</x:v>
      </x:c>
      <x:c r="AA93" s="310" t="n">
        <x:v>46219</x:v>
      </x:c>
    </x:row>
    <x:row r="94">
      <x:c r="A94" s="309" t="n">
        <x:v>78</x:v>
      </x:c>
      <x:c r="B94" s="312" t="str">
        <x:v>Afrobarometer</x:v>
      </x:c>
      <x:c r="C94" s="313" t="str">
        <x:v>https://www.afrobarometer.org/</x:v>
      </x:c>
      <x:c r="D94" s="308" t="str">
        <x:v>Red pan-africana; sede institucional en Accra</x:v>
      </x:c>
      <x:c r="E94" s="308" t="str">
        <x:v>África - Pancontinental</x:v>
      </x:c>
      <x:c r="F94" s="308" t="str">
        <x:v>Inglés/Francés/Portugués y lenguas nacionales</x:v>
      </x:c>
      <x:c r="G94" s="308" t="str">
        <x:v>Red de investigación</x:v>
      </x:c>
      <x:c r="H94" s="308" t="str">
        <x:v>Encuestas de opinión pública y datos comparativos</x:v>
      </x:c>
      <x:c r="I94" s="308" t="str">
        <x:v>Red independiente de investigación con financiación institucional</x:v>
      </x:c>
      <x:c r="J94" s="308" t="str">
        <x:v>Investigación no partidista</x:v>
      </x:c>
      <x:c r="K94" s="308" t="str">
        <x:v>No partidista</x:v>
      </x:c>
      <x:c r="L94" s="404" t="str">
        <x:v>Voz ciudadana pan-africana</x:v>
      </x:c>
      <x:c r="M94" s="309" t="n">
        <x:v>5</x:v>
      </x:c>
      <x:c r="N94" s="309" t="n">
        <x:v>5</x:v>
      </x:c>
      <x:c r="O94" s="309" t="n">
        <x:v>5</x:v>
      </x:c>
      <x:c r="P94" s="309" t="n">
        <x:v>5</x:v>
      </x:c>
      <x:c r="Q94" s="309" t="n">
        <x:v>4</x:v>
      </x:c>
      <x:c r="R94" s="309" t="n">
        <x:v>5</x:v>
      </x:c>
      <x:c r="S94" s="311" t="n">
        <x:v>4.8</x:v>
      </x:c>
      <x:c r="T94" s="309" t="str">
        <x:v>Alta</x:v>
      </x:c>
      <x:c r="U94" s="308" t="str">
        <x:v>Opinión pública, democracia, gobernanza, economía y sociedad</x:v>
      </x:c>
      <x:c r="V94" s="308" t="str">
        <x:v>Baja a moderada</x:v>
      </x:c>
      <x:c r="W94" s="308" t="str">
        <x:v>Metodología, cuestionarios, series históricas y estadísticas nacionales</x:v>
      </x:c>
      <x:c r="X94" s="308" t="str">
        <x:v>Nuevo recomendado</x:v>
      </x:c>
      <x:c r="Y94" s="308" t="str">
        <x:v>Fuente prioritaria para medir actitudes ciudadanas; revisar siempre muestra, fecha y formulación de preguntas.</x:v>
      </x:c>
      <x:c r="Z94" s="308" t="str">
        <x:v>https://www.afrobarometer.org/about/</x:v>
      </x:c>
      <x:c r="AA94" s="310" t="n">
        <x:v>46219</x:v>
      </x:c>
    </x:row>
    <x:row r="95">
      <x:c r="A95" s="309" t="n">
        <x:v>83</x:v>
      </x:c>
      <x:c r="B95" s="312" t="str">
        <x:v>HumAngle</x:v>
      </x:c>
      <x:c r="C95" s="313" t="str">
        <x:v>https://humanglemedia.com/</x:v>
      </x:c>
      <x:c r="D95" s="308" t="str">
        <x:v>Nigeria; cobertura del Sahel y cuenca del lago Chad</x:v>
      </x:c>
      <x:c r="E95" s="308" t="str">
        <x:v>África Occidental / Sahel</x:v>
      </x:c>
      <x:c r="F95" s="308" t="str">
        <x:v>Inglés</x:v>
      </x:c>
      <x:c r="G95" s="308" t="str">
        <x:v>Medio especializado</x:v>
      </x:c>
      <x:c r="H95" s="308" t="str">
        <x:v>Conflictos, crisis humanitarias, derechos humanos y desarrollo</x:v>
      </x:c>
      <x:c r="I95" s="308" t="str">
        <x:v>Organización periodística especializada; donaciones y proyectos</x:v>
      </x:c>
      <x:c r="J95" s="308" t="str">
        <x:v>Independiente</x:v>
      </x:c>
      <x:c r="K95" s="308" t="str">
        <x:v>Humanitaria / seguridad humana</x:v>
      </x:c>
      <x:c r="L95" s="404" t="str">
        <x:v>África Occidental / Sahel</x:v>
      </x:c>
      <x:c r="M95" s="309" t="n">
        <x:v>4</x:v>
      </x:c>
      <x:c r="N95" s="309" t="n">
        <x:v>4</x:v>
      </x:c>
      <x:c r="O95" s="309" t="n">
        <x:v>4</x:v>
      </x:c>
      <x:c r="P95" s="309" t="n">
        <x:v>4</x:v>
      </x:c>
      <x:c r="Q95" s="309" t="n">
        <x:v>3</x:v>
      </x:c>
      <x:c r="R95" s="309" t="n">
        <x:v>4</x:v>
      </x:c>
      <x:c r="S95" s="311" t="n">
        <x:v>3.8</x:v>
      </x:c>
      <x:c r="T95" s="309" t="str">
        <x:v>Media-alta</x:v>
      </x:c>
      <x:c r="U95" s="308" t="str">
        <x:v>Insurgencias, desplazamiento, violencia y comunidades subcubiertas</x:v>
      </x:c>
      <x:c r="V95" s="308" t="str">
        <x:v>Alta</x:v>
      </x:c>
      <x:c r="W95" s="308" t="str">
        <x:v>ACLED, ONU, agencias, autoridades locales y evidencia geolocalizada</x:v>
      </x:c>
      <x:c r="X95" s="308" t="str">
        <x:v>Nuevo recomendado</x:v>
      </x:c>
      <x:c r="Y95" s="308" t="str">
        <x:v>Especializado en conflictos y crisis humanitarias; distinguir testimonios, estimaciones y hechos verificados.</x:v>
      </x:c>
      <x:c r="Z95" s="308" t="str">
        <x:v>https://humanglemedia.com/about-us/</x:v>
      </x:c>
      <x:c r="AA95" s="310" t="n">
        <x:v>46219</x:v>
      </x:c>
    </x:row>
    <x:row r="96">
      <x:c r="A96" s="61" t="n">
        <x:v>84</x:v>
      </x:c>
      <x:c r="B96" s="73" t="str">
        <x:v>The EastAfrican</x:v>
      </x:c>
      <x:c r="C96" s="77" t="str">
        <x:v>https://www.theeastafrican.co.ke/</x:v>
      </x:c>
      <x:c r="D96" s="53" t="str">
        <x:v>Kenia; publicación regional de Nation Media Group</x:v>
      </x:c>
      <x:c r="E96" s="53" t="str">
        <x:v>África Oriental</x:v>
      </x:c>
      <x:c r="F96" s="53" t="str">
        <x:v>Inglés</x:v>
      </x:c>
      <x:c r="G96" s="53" t="str">
        <x:v>Medio regional</x:v>
      </x:c>
      <x:c r="H96" s="53" t="str">
        <x:v>Política, economía, diplomacia y Comunidad de África Oriental</x:v>
      </x:c>
      <x:c r="I96" s="53" t="str">
        <x:v>Nation Media Group</x:v>
      </x:c>
      <x:c r="J96" s="53" t="str">
        <x:v>Privado comercial</x:v>
      </x:c>
      <x:c r="K96" s="53" t="str">
        <x:v>Centro / regionalista</x:v>
      </x:c>
      <x:c r="L96" s="405" t="str">
        <x:v>África Oriental / integración EAC</x:v>
      </x:c>
      <x:c r="M96" s="61" t="n">
        <x:v>4</x:v>
      </x:c>
      <x:c r="N96" s="61" t="n">
        <x:v>4</x:v>
      </x:c>
      <x:c r="O96" s="61" t="n">
        <x:v>4</x:v>
      </x:c>
      <x:c r="P96" s="61" t="n">
        <x:v>4</x:v>
      </x:c>
      <x:c r="Q96" s="61" t="n">
        <x:v>4</x:v>
      </x:c>
      <x:c r="R96" s="61" t="n">
        <x:v>4</x:v>
      </x:c>
      <x:c r="S96" s="69" t="n">
        <x:v>4</x:v>
      </x:c>
      <x:c r="T96" s="61" t="str">
        <x:v>Media-alta</x:v>
      </x:c>
      <x:c r="U96" s="53" t="str">
        <x:v>Política y geoeconomía de África Oriental</x:v>
      </x:c>
      <x:c r="V96" s="53" t="str">
        <x:v>Moderada</x:v>
      </x:c>
      <x:c r="W96" s="53" t="str">
        <x:v>Medios nacionales, agencias y documentos de la EAC</x:v>
      </x:c>
      <x:c r="X96" s="53" t="str">
        <x:v>Nuevo recomendado</x:v>
      </x:c>
      <x:c r="Y96" s="53" t="str">
        <x:v>Publicación regional con cobertura de Kenia, Tanzania, Uganda, Ruanda, Burundi y Sudán del Sur.</x:v>
      </x:c>
      <x:c r="Z96" s="53" t="str">
        <x:v>https://www.theeastafrican.co.ke/tea/author-profiles/the-eastafrican-1368402</x:v>
      </x:c>
      <x:c r="AA96" s="65" t="n">
        <x:v>46219</x:v>
      </x:c>
    </x:row>
    <x:row r="97">
      <x:c r="A97" t="n">
        <x:v>93</x:v>
      </x:c>
      <x:c r="B97" t="str">
        <x:v>Geopolitical Futures</x:v>
      </x:c>
      <x:c r="C97" t="str">
        <x:v>https://geopoliticalfutures.com/</x:v>
      </x:c>
      <x:c r="D97" t="str">
        <x:v>Estados Unidos; sede en Austin, Texas; alcance global</x:v>
      </x:c>
      <x:c r="E97" t="str">
        <x:v>Global/Occidente</x:v>
      </x:c>
      <x:c r="F97" t="str">
        <x:v>Inglés</x:v>
      </x:c>
      <x:c r="G97" t="str">
        <x:v>Publicación especializada de análisis geopolítico</x:v>
      </x:c>
      <x:c r="H97" t="str">
        <x:v>Análisis estratégico, prospectiva y evaluación de riesgos geopolíticos</x:v>
      </x:c>
      <x:c r="I97" t="str">
        <x:v>Empresa privada; modelo de suscripción y apoyo de lectores</x:v>
      </x:c>
      <x:c r="J97" t="str">
        <x:v>Privado</x:v>
      </x:c>
      <x:c r="K97" t="str">
        <x:v>Realista / pragmático</x:v>
      </x:c>
      <x:c r="L97" t="str">
        <x:v>Estadounidense / realista geoestratégica</x:v>
      </x:c>
      <x:c r="M97" t="n">
        <x:v>4</x:v>
      </x:c>
      <x:c r="N97" t="n">
        <x:v>4</x:v>
      </x:c>
      <x:c r="O97" t="n">
        <x:v>3</x:v>
      </x:c>
      <x:c r="P97" t="n">
        <x:v>4</x:v>
      </x:c>
      <x:c r="Q97" t="n">
        <x:v>3</x:v>
      </x:c>
      <x:c r="R97" t="n">
        <x:v>4</x:v>
      </x:c>
      <x:c r="S97" t="n">
        <x:v>3.7</x:v>
      </x:c>
      <x:c r="T97" t="str">
        <x:v>Media-alta</x:v>
      </x:c>
      <x:c r="U97" t="str">
        <x:v>Escenarios, análisis estructural y seguimiento de riesgos geopolíticos</x:v>
      </x:c>
      <x:c r="V97" t="str">
        <x:v>Moderada-alta</x:v>
      </x:c>
      <x:c r="W97" t="str">
        <x:v>Reuters/AP, fuentes primarias, think tanks de perspectivas distintas y medios locales</x:v>
      </x:c>
      <x:c r="X97" t="str">
        <x:v>Nuevo recomendado</x:v>
      </x:c>
      <x:c r="Y97" t="str">
        <x:v>Fundada por George Friedman. Ofrece análisis y previsiones mediante un modelo propio; sus interpretaciones y pronósticos deben contrastarse con datos, fuentes primarias y perspectivas regionales. No usar como confirmación única de hechos.</x:v>
      </x:c>
      <x:c r="Z97" t="str">
        <x:v>https://geopoliticalfutures.com/analysis/</x:v>
      </x:c>
      <x:c r="AA97" t="n">
        <x:v>46229</x:v>
      </x:c>
    </x:row>
  </x:sheetData>
  <x:mergeCells>
    <x:mergeCell ref="A1:AA1"/>
    <x:mergeCell ref="A2:AA2"/>
  </x:mergeCells>
  <x:pageMargins left="0.7" right="0.7" top="0.75" bottom="0.75" header="0.3" footer="0.3"/>
  <x:tableParts count="1">
    <x:tablePart xmlns:r="http://schemas.openxmlformats.org/officeDocument/2006/relationships" r:id="R6e96e870eae2490c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23" hidden="0" customWidth="1"/>
    <x:col min="4" max="4" width="25" hidden="0" customWidth="1"/>
    <x:col min="5" max="5" width="32" hidden="0" customWidth="1"/>
    <x:col min="6" max="6" width="30" hidden="0" customWidth="1"/>
    <x:col min="7" max="7" width="13" hidden="0" customWidth="1"/>
    <x:col min="8" max="8" width="15" hidden="0" customWidth="1"/>
    <x:col min="9" max="9" width="36" hidden="0" customWidth="1"/>
    <x:col min="10" max="10" width="24" hidden="0" customWidth="1"/>
    <x:col min="11" max="11" width="18" hidden="0" customWidth="1"/>
    <x:col min="12" max="12" width="8" hidden="0" customWidth="1"/>
  </x:cols>
  <x:sheetData>
    <x:row r="1" ht="30" customHeight="1">
      <x:c r="A1" s="394" t="str">
        <x:v>Consulta rápida de medios</x:v>
      </x:c>
      <x:c r="B1" s="394"/>
      <x:c r="C1" s="394"/>
      <x:c r="D1" s="394"/>
      <x:c r="E1" s="394"/>
      <x:c r="F1" s="394"/>
      <x:c r="G1" s="394"/>
      <x:c r="H1" s="394"/>
      <x:c r="I1" s="394"/>
      <x:c r="J1" s="394"/>
      <x:c r="K1" s="394"/>
      <x:c r="L1" s="394"/>
    </x:row>
    <x:row r="2" ht="34" customHeight="1">
      <x:c r="A2" s="409" t="str">
        <x:v>Vista compacta para filtrar por región, familia, función, perspectiva, confianza, corroboración y estado. La URL se muestra directamente para abrirla desde Excel.</x:v>
      </x:c>
      <x:c r="B2" s="409"/>
      <x:c r="C2" s="409"/>
      <x:c r="D2" s="409"/>
      <x:c r="E2" s="409"/>
      <x:c r="F2" s="409"/>
      <x:c r="G2" s="409"/>
      <x:c r="H2" s="409"/>
      <x:c r="I2" s="409"/>
      <x:c r="J2" s="409"/>
      <x:c r="K2" s="409"/>
      <x:c r="L2" s="409"/>
    </x:row>
    <x:row r="4" ht="42" customHeight="1">
      <x:c r="A4" s="414" t="str">
        <x:v>Nombre</x:v>
      </x:c>
      <x:c r="B4" s="414" t="str">
        <x:v>URL</x:v>
      </x:c>
      <x:c r="C4" s="414" t="str">
        <x:v>Región</x:v>
      </x:c>
      <x:c r="D4" s="414" t="str">
        <x:v>Familia</x:v>
      </x:c>
      <x:c r="E4" s="414" t="str">
        <x:v>Función epistemológica</x:v>
      </x:c>
      <x:c r="F4" s="414" t="str">
        <x:v>Perspectiva geopolítica</x:v>
      </x:c>
      <x:c r="G4" s="414" t="str">
        <x:v>Puntuación global</x:v>
      </x:c>
      <x:c r="H4" s="414" t="str">
        <x:v>Confianza</x:v>
      </x:c>
      <x:c r="I4" s="414" t="str">
        <x:v>Uso recomendado</x:v>
      </x:c>
      <x:c r="J4" s="414" t="str">
        <x:v>Corroboración</x:v>
      </x:c>
      <x:c r="K4" s="414" t="str">
        <x:v>Estado</x:v>
      </x:c>
      <x:c r="L4" s="414" t="str">
        <x:v>ID</x:v>
      </x:c>
    </x:row>
    <x:row r="5">
      <x:c r="A5" s="312" t="str">
        <x:v>La Nación (Argentina)</x:v>
      </x:c>
      <x:c r="B5" s="313" t="str">
        <x:v>https://www.lanacion.com.ar/</x:v>
      </x:c>
      <x:c r="C5" s="404" t="str">
        <x:v>América Latina</x:v>
      </x:c>
      <x:c r="D5" s="308" t="str">
        <x:v>Medio generalista</x:v>
      </x:c>
      <x:c r="E5" s="308" t="str">
        <x:v>Noticias, análisis y opinión</x:v>
      </x:c>
      <x:c r="F5" s="308" t="str">
        <x:v>Argentina / liberal-conservadora</x:v>
      </x:c>
      <x:c r="G5" s="311" t="n">
        <x:v>4</x:v>
      </x:c>
      <x:c r="H5" s="309" t="str">
        <x:v>Media-alta</x:v>
      </x:c>
      <x:c r="I5" s="308" t="str">
        <x:v>Argentina y Cono Sur</x:v>
      </x:c>
      <x:c r="J5" s="308" t="str">
        <x:v>Moderada</x:v>
      </x:c>
      <x:c r="K5" s="308" t="str">
        <x:v>Activo</x:v>
      </x:c>
      <x:c r="L5" s="309" t="n">
        <x:v>4</x:v>
      </x:c>
    </x:row>
    <x:row r="6">
      <x:c r="A6" s="312" t="str">
        <x:v>Caixin Global</x:v>
      </x:c>
      <x:c r="B6" s="313" t="str">
        <x:v>https://www.caixinglobal.com/</x:v>
      </x:c>
      <x:c r="C6" s="404" t="str">
        <x:v>Asia</x:v>
      </x:c>
      <x:c r="D6" s="308" t="str">
        <x:v>Medio económico</x:v>
      </x:c>
      <x:c r="E6" s="308" t="str">
        <x:v>Economía, finanzas e investigación</x:v>
      </x:c>
      <x:c r="F6" s="308" t="str">
        <x:v>China económica</x:v>
      </x:c>
      <x:c r="G6" s="311" t="n">
        <x:v>3.7</x:v>
      </x:c>
      <x:c r="H6" s="309" t="str">
        <x:v>Media-alta</x:v>
      </x:c>
      <x:c r="I6" s="308" t="str">
        <x:v>Economía china y empresas</x:v>
      </x:c>
      <x:c r="J6" s="308" t="str">
        <x:v>Alta en temas políticos sensibles</x:v>
      </x:c>
      <x:c r="K6" s="308" t="str">
        <x:v>Nuevo recomendado</x:v>
      </x:c>
      <x:c r="L6" s="309" t="n">
        <x:v>52</x:v>
      </x:c>
    </x:row>
    <x:row r="7">
      <x:c r="A7" s="312" t="str">
        <x:v>Nikkei Asia</x:v>
      </x:c>
      <x:c r="B7" s="313" t="str">
        <x:v>https://asia.nikkei.com/</x:v>
      </x:c>
      <x:c r="C7" s="404" t="str">
        <x:v>Asia</x:v>
      </x:c>
      <x:c r="D7" s="308" t="str">
        <x:v>Medio económico regional</x:v>
      </x:c>
      <x:c r="E7" s="308" t="str">
        <x:v>Empresas, economía y geopolítica asiática</x:v>
      </x:c>
      <x:c r="F7" s="308" t="str">
        <x:v>Japonesa / asiática</x:v>
      </x:c>
      <x:c r="G7" s="311" t="n">
        <x:v>4.5</x:v>
      </x:c>
      <x:c r="H7" s="309" t="str">
        <x:v>Alta</x:v>
      </x:c>
      <x:c r="I7" s="308" t="str">
        <x:v>Asia, cadenas de suministro y geoeconomía</x:v>
      </x:c>
      <x:c r="J7" s="308" t="str">
        <x:v>Moderada</x:v>
      </x:c>
      <x:c r="K7" s="308" t="str">
        <x:v>Nuevo recomendado</x:v>
      </x:c>
      <x:c r="L7" s="309" t="n">
        <x:v>47</x:v>
      </x:c>
    </x:row>
    <x:row r="8">
      <x:c r="A8" s="312" t="str">
        <x:v>South China Morning Post</x:v>
      </x:c>
      <x:c r="B8" s="313" t="str">
        <x:v>https://www.scmp.com/</x:v>
      </x:c>
      <x:c r="C8" s="404" t="str">
        <x:v>Asia</x:v>
      </x:c>
      <x:c r="D8" s="308" t="str">
        <x:v>Medio regional</x:v>
      </x:c>
      <x:c r="E8" s="308" t="str">
        <x:v>Noticias de China y Asia</x:v>
      </x:c>
      <x:c r="F8" s="308" t="str">
        <x:v>Hong Kong / China</x:v>
      </x:c>
      <x:c r="G8" s="311" t="n">
        <x:v>3.7</x:v>
      </x:c>
      <x:c r="H8" s="309" t="str">
        <x:v>Media-alta</x:v>
      </x:c>
      <x:c r="I8" s="308" t="str">
        <x:v>China, Hong Kong y Asia</x:v>
      </x:c>
      <x:c r="J8" s="308" t="str">
        <x:v>Moderada-alta</x:v>
      </x:c>
      <x:c r="K8" s="308" t="str">
        <x:v>Nuevo recomendado</x:v>
      </x:c>
      <x:c r="L8" s="309" t="n">
        <x:v>53</x:v>
      </x:c>
    </x:row>
    <x:row r="9">
      <x:c r="A9" s="312" t="str">
        <x:v>Kyodo News</x:v>
      </x:c>
      <x:c r="B9" s="313" t="str">
        <x:v>https://english.kyodonews.net/</x:v>
      </x:c>
      <x:c r="C9" s="404" t="str">
        <x:v>Asia</x:v>
      </x:c>
      <x:c r="D9" s="308" t="str">
        <x:v>Agencia de noticias</x:v>
      </x:c>
      <x:c r="E9" s="308" t="str">
        <x:v>Noticias nacionales e internacionales</x:v>
      </x:c>
      <x:c r="F9" s="308" t="str">
        <x:v>Japonesa</x:v>
      </x:c>
      <x:c r="G9" s="311" t="n">
        <x:v>4.8</x:v>
      </x:c>
      <x:c r="H9" s="309" t="str">
        <x:v>Alta</x:v>
      </x:c>
      <x:c r="I9" s="308" t="str">
        <x:v>Japón y Asia Oriental</x:v>
      </x:c>
      <x:c r="J9" s="308" t="str">
        <x:v>Baja a moderada</x:v>
      </x:c>
      <x:c r="K9" s="308" t="str">
        <x:v>Nuevo recomendado</x:v>
      </x:c>
      <x:c r="L9" s="309" t="n">
        <x:v>50</x:v>
      </x:c>
    </x:row>
    <x:row r="10">
      <x:c r="A10" s="312" t="str">
        <x:v>Yonhap News Agency</x:v>
      </x:c>
      <x:c r="B10" s="313" t="str">
        <x:v>https://en.yna.co.kr/</x:v>
      </x:c>
      <x:c r="C10" s="404" t="str">
        <x:v>Asia</x:v>
      </x:c>
      <x:c r="D10" s="308" t="str">
        <x:v>Agencia de noticias</x:v>
      </x:c>
      <x:c r="E10" s="308" t="str">
        <x:v>Noticias nacionales y regionales</x:v>
      </x:c>
      <x:c r="F10" s="308" t="str">
        <x:v>Surcoreana</x:v>
      </x:c>
      <x:c r="G10" s="311" t="n">
        <x:v>4</x:v>
      </x:c>
      <x:c r="H10" s="309" t="str">
        <x:v>Media-alta</x:v>
      </x:c>
      <x:c r="I10" s="308" t="str">
        <x:v>Corea y península coreana</x:v>
      </x:c>
      <x:c r="J10" s="308" t="str">
        <x:v>Moderada</x:v>
      </x:c>
      <x:c r="K10" s="308" t="str">
        <x:v>Nuevo recomendado</x:v>
      </x:c>
      <x:c r="L10" s="309" t="n">
        <x:v>51</x:v>
      </x:c>
    </x:row>
    <x:row r="11">
      <x:c r="A11" s="312" t="str">
        <x:v>The Hindu</x:v>
      </x:c>
      <x:c r="B11" s="313" t="str">
        <x:v>https://www.thehindu.com/</x:v>
      </x:c>
      <x:c r="C11" s="404" t="str">
        <x:v>Asia</x:v>
      </x:c>
      <x:c r="D11" s="308" t="str">
        <x:v>Medio generalista</x:v>
      </x:c>
      <x:c r="E11" s="308" t="str">
        <x:v>Noticias y análisis</x:v>
      </x:c>
      <x:c r="F11" s="308" t="str">
        <x:v>India</x:v>
      </x:c>
      <x:c r="G11" s="311" t="n">
        <x:v>4</x:v>
      </x:c>
      <x:c r="H11" s="309" t="str">
        <x:v>Media-alta</x:v>
      </x:c>
      <x:c r="I11" s="308" t="str">
        <x:v>India y Asia del Sur</x:v>
      </x:c>
      <x:c r="J11" s="308" t="str">
        <x:v>Moderada</x:v>
      </x:c>
      <x:c r="K11" s="308" t="str">
        <x:v>Nuevo recomendado</x:v>
      </x:c>
      <x:c r="L11" s="309" t="n">
        <x:v>54</x:v>
      </x:c>
    </x:row>
    <x:row r="12">
      <x:c r="A12" s="312" t="str">
        <x:v>CNA</x:v>
      </x:c>
      <x:c r="B12" s="313" t="str">
        <x:v>https://www.channelnewsasia.com/</x:v>
      </x:c>
      <x:c r="C12" s="404" t="str">
        <x:v>Asia</x:v>
      </x:c>
      <x:c r="D12" s="308" t="str">
        <x:v>Radiodifusor regional</x:v>
      </x:c>
      <x:c r="E12" s="308" t="str">
        <x:v>Noticias y análisis del Sudeste Asiático</x:v>
      </x:c>
      <x:c r="F12" s="308" t="str">
        <x:v>Singapur / ASEAN</x:v>
      </x:c>
      <x:c r="G12" s="311" t="n">
        <x:v>4</x:v>
      </x:c>
      <x:c r="H12" s="309" t="str">
        <x:v>Media-alta</x:v>
      </x:c>
      <x:c r="I12" s="308" t="str">
        <x:v>Sudeste Asiático y ASEAN</x:v>
      </x:c>
      <x:c r="J12" s="308" t="str">
        <x:v>Moderada</x:v>
      </x:c>
      <x:c r="K12" s="308" t="str">
        <x:v>Nuevo recomendado</x:v>
      </x:c>
      <x:c r="L12" s="309" t="n">
        <x:v>48</x:v>
      </x:c>
    </x:row>
    <x:row r="13">
      <x:c r="A13" s="312" t="str">
        <x:v>Dawn</x:v>
      </x:c>
      <x:c r="B13" s="313" t="str">
        <x:v>https://www.dawn.com/</x:v>
      </x:c>
      <x:c r="C13" s="404" t="str">
        <x:v>Asia</x:v>
      </x:c>
      <x:c r="D13" s="308" t="str">
        <x:v>Medio generalista</x:v>
      </x:c>
      <x:c r="E13" s="308" t="str">
        <x:v>Noticias y opinión</x:v>
      </x:c>
      <x:c r="F13" s="308" t="str">
        <x:v>Pakistán / Asia del Sur</x:v>
      </x:c>
      <x:c r="G13" s="311" t="n">
        <x:v>4</x:v>
      </x:c>
      <x:c r="H13" s="309" t="str">
        <x:v>Media-alta</x:v>
      </x:c>
      <x:c r="I13" s="308" t="str">
        <x:v>Pakistán, Afganistán y Asia del Sur</x:v>
      </x:c>
      <x:c r="J13" s="308" t="str">
        <x:v>Moderada</x:v>
      </x:c>
      <x:c r="K13" s="308" t="str">
        <x:v>Nuevo recomendado</x:v>
      </x:c>
      <x:c r="L13" s="309" t="n">
        <x:v>55</x:v>
      </x:c>
    </x:row>
    <x:row r="14">
      <x:c r="A14" s="312" t="str">
        <x:v>Xinhua News Agency</x:v>
      </x:c>
      <x:c r="B14" s="313" t="str">
        <x:v>https://english.news.cn/</x:v>
      </x:c>
      <x:c r="C14" s="404" t="str">
        <x:v>Asia/Global</x:v>
      </x:c>
      <x:c r="D14" s="308" t="str">
        <x:v>Agencia estatal</x:v>
      </x:c>
      <x:c r="E14" s="308" t="str">
        <x:v>Noticias y comunicación oficial</x:v>
      </x:c>
      <x:c r="F14" s="308" t="str">
        <x:v>China estatal</x:v>
      </x:c>
      <x:c r="G14" s="311" t="n">
        <x:v>2.5</x:v>
      </x:c>
      <x:c r="H14" s="309" t="str">
        <x:v>Baja</x:v>
      </x:c>
      <x:c r="I14" s="308" t="str">
        <x:v>Posiciones oficiales y datos publicados por China</x:v>
      </x:c>
      <x:c r="J14" s="308" t="str">
        <x:v>Obligatoria</x:v>
      </x:c>
      <x:c r="K14" s="308" t="str">
        <x:v>Uso condicionado</x:v>
      </x:c>
      <x:c r="L14" s="309" t="n">
        <x:v>46</x:v>
      </x:c>
    </x:row>
    <x:row r="15">
      <x:c r="A15" s="312" t="str">
        <x:v>NHK World-Japan</x:v>
      </x:c>
      <x:c r="B15" s="313" t="str">
        <x:v>https://www3.nhk.or.jp/nhkworld/</x:v>
      </x:c>
      <x:c r="C15" s="404" t="str">
        <x:v>Asia/Global</x:v>
      </x:c>
      <x:c r="D15" s="308" t="str">
        <x:v>Radiodifusor público internacional</x:v>
      </x:c>
      <x:c r="E15" s="308" t="str">
        <x:v>Noticias y contexto</x:v>
      </x:c>
      <x:c r="F15" s="308" t="str">
        <x:v>Japonesa</x:v>
      </x:c>
      <x:c r="G15" s="311" t="n">
        <x:v>4.3</x:v>
      </x:c>
      <x:c r="H15" s="309" t="str">
        <x:v>Alta</x:v>
      </x:c>
      <x:c r="I15" s="308" t="str">
        <x:v>Japón y Asia Oriental</x:v>
      </x:c>
      <x:c r="J15" s="308" t="str">
        <x:v>Moderada</x:v>
      </x:c>
      <x:c r="K15" s="308" t="str">
        <x:v>Nuevo recomendado</x:v>
      </x:c>
      <x:c r="L15" s="309" t="n">
        <x:v>49</x:v>
      </x:c>
    </x:row>
    <x:row r="16">
      <x:c r="A16" s="312" t="str">
        <x:v>CGTN</x:v>
      </x:c>
      <x:c r="B16" s="313" t="str">
        <x:v>https://www.cgtn.com/</x:v>
      </x:c>
      <x:c r="C16" s="404" t="str">
        <x:v>Asia/Global</x:v>
      </x:c>
      <x:c r="D16" s="308" t="str">
        <x:v>Medio estatal internacional</x:v>
      </x:c>
      <x:c r="E16" s="308" t="str">
        <x:v>Noticias y narrativa oficial</x:v>
      </x:c>
      <x:c r="F16" s="308" t="str">
        <x:v>China estatal</x:v>
      </x:c>
      <x:c r="G16" s="311" t="n">
        <x:v>2.5</x:v>
      </x:c>
      <x:c r="H16" s="309" t="str">
        <x:v>Baja</x:v>
      </x:c>
      <x:c r="I16" s="308" t="str">
        <x:v>Conocer la posición y narrativa oficial china</x:v>
      </x:c>
      <x:c r="J16" s="308" t="str">
        <x:v>Obligatoria</x:v>
      </x:c>
      <x:c r="K16" s="308" t="str">
        <x:v>Uso condicionado</x:v>
      </x:c>
      <x:c r="L16" s="309" t="n">
        <x:v>44</x:v>
      </x:c>
    </x:row>
    <x:row r="17">
      <x:c r="A17" s="312" t="str">
        <x:v>The Kyiv Independent</x:v>
      </x:c>
      <x:c r="B17" s="313" t="str">
        <x:v>https://kyivindependent.com/</x:v>
      </x:c>
      <x:c r="C17" s="404" t="str">
        <x:v>Europa Oriental</x:v>
      </x:c>
      <x:c r="D17" s="308" t="str">
        <x:v>Medio independiente</x:v>
      </x:c>
      <x:c r="E17" s="308" t="str">
        <x:v>Noticias e investigación</x:v>
      </x:c>
      <x:c r="F17" s="308" t="str">
        <x:v>Ucraniana</x:v>
      </x:c>
      <x:c r="G17" s="311" t="n">
        <x:v>4</x:v>
      </x:c>
      <x:c r="H17" s="309" t="str">
        <x:v>Media-alta</x:v>
      </x:c>
      <x:c r="I17" s="308" t="str">
        <x:v>Ucrania y guerra ruso-ucraniana</x:v>
      </x:c>
      <x:c r="J17" s="308" t="str">
        <x:v>Alta en afirmaciones operativas</x:v>
      </x:c>
      <x:c r="K17" s="308" t="str">
        <x:v>Nuevo recomendado</x:v>
      </x:c>
      <x:c r="L17" s="309" t="n">
        <x:v>72</x:v>
      </x:c>
    </x:row>
    <x:row r="18">
      <x:c r="A18" s="312" t="str">
        <x:v>Le Grand Continent</x:v>
      </x:c>
      <x:c r="B18" s="313" t="str">
        <x:v>https://legrandcontinent.eu/</x:v>
      </x:c>
      <x:c r="C18" s="404" t="str">
        <x:v>Europa/Global</x:v>
      </x:c>
      <x:c r="D18" s="308" t="str">
        <x:v>Revista de ideas / think tank</x:v>
      </x:c>
      <x:c r="E18" s="308" t="str">
        <x:v>Ensayo, análisis y debate intelectual</x:v>
      </x:c>
      <x:c r="F18" s="308" t="str">
        <x:v>Europa continental</x:v>
      </x:c>
      <x:c r="G18" s="311" t="n">
        <x:v>3.8</x:v>
      </x:c>
      <x:c r="H18" s="309" t="str">
        <x:v>Media-alta</x:v>
      </x:c>
      <x:c r="I18" s="308" t="str">
        <x:v>Debate estratégico europeo y largo formato</x:v>
      </x:c>
      <x:c r="J18" s="308" t="str">
        <x:v>Moderada</x:v>
      </x:c>
      <x:c r="K18" s="308" t="str">
        <x:v>Activo</x:v>
      </x:c>
      <x:c r="L18" s="309" t="n">
        <x:v>38</x:v>
      </x:c>
    </x:row>
    <x:row r="19">
      <x:c r="A19" s="312" t="str">
        <x:v>Sciences Po - CERI</x:v>
      </x:c>
      <x:c r="B19" s="313" t="str">
        <x:v>https://www.sciencespo.fr/ceri/en/</x:v>
      </x:c>
      <x:c r="C19" s="404" t="str">
        <x:v>Europa/Global</x:v>
      </x:c>
      <x:c r="D19" s="308" t="str">
        <x:v>Centro académico</x:v>
      </x:c>
      <x:c r="E19" s="308" t="str">
        <x:v>Investigación en relaciones internacionales</x:v>
      </x:c>
      <x:c r="F19" s="308" t="str">
        <x:v>Francesa / europea</x:v>
      </x:c>
      <x:c r="G19" s="311" t="n">
        <x:v>4.8</x:v>
      </x:c>
      <x:c r="H19" s="309" t="str">
        <x:v>Alta</x:v>
      </x:c>
      <x:c r="I19" s="308" t="str">
        <x:v>Investigación académica y contexto histórico</x:v>
      </x:c>
      <x:c r="J19" s="308" t="str">
        <x:v>Baja a moderada</x:v>
      </x:c>
      <x:c r="K19" s="308" t="str">
        <x:v>Activo</x:v>
      </x:c>
      <x:c r="L19" s="309" t="n">
        <x:v>41</x:v>
      </x:c>
    </x:row>
    <x:row r="20">
      <x:c r="A20" s="312" t="str">
        <x:v>ECFR</x:v>
      </x:c>
      <x:c r="B20" s="313" t="str">
        <x:v>https://ecfr.eu/</x:v>
      </x:c>
      <x:c r="C20" s="404" t="str">
        <x:v>Europa/Global</x:v>
      </x:c>
      <x:c r="D20" s="308" t="str">
        <x:v>Think tank</x:v>
      </x:c>
      <x:c r="E20" s="308" t="str">
        <x:v>Política exterior europea</x:v>
      </x:c>
      <x:c r="F20" s="308" t="str">
        <x:v>Europea estratégica</x:v>
      </x:c>
      <x:c r="G20" s="311" t="n">
        <x:v>4.3</x:v>
      </x:c>
      <x:c r="H20" s="309" t="str">
        <x:v>Alta</x:v>
      </x:c>
      <x:c r="I20" s="308" t="str">
        <x:v>Política exterior y seguridad europea</x:v>
      </x:c>
      <x:c r="J20" s="308" t="str">
        <x:v>Moderada</x:v>
      </x:c>
      <x:c r="K20" s="308" t="str">
        <x:v>Activo</x:v>
      </x:c>
      <x:c r="L20" s="309" t="n">
        <x:v>33</x:v>
      </x:c>
    </x:row>
    <x:row r="21">
      <x:c r="A21" s="312" t="str">
        <x:v>Chatham House</x:v>
      </x:c>
      <x:c r="B21" s="313" t="str">
        <x:v>https://www.chathamhouse.org/</x:v>
      </x:c>
      <x:c r="C21" s="404" t="str">
        <x:v>Global</x:v>
      </x:c>
      <x:c r="D21" s="308" t="str">
        <x:v>Think tank</x:v>
      </x:c>
      <x:c r="E21" s="308" t="str">
        <x:v>Análisis de políticas</x:v>
      </x:c>
      <x:c r="F21" s="308" t="str">
        <x:v>Británica / multilateral</x:v>
      </x:c>
      <x:c r="G21" s="311" t="n">
        <x:v>4.5</x:v>
      </x:c>
      <x:c r="H21" s="309" t="str">
        <x:v>Alta</x:v>
      </x:c>
      <x:c r="I21" s="308" t="str">
        <x:v>Contexto estratégico y políticas públicas</x:v>
      </x:c>
      <x:c r="J21" s="308" t="str">
        <x:v>Moderada</x:v>
      </x:c>
      <x:c r="K21" s="308" t="str">
        <x:v>Activo</x:v>
      </x:c>
      <x:c r="L21" s="309" t="n">
        <x:v>32</x:v>
      </x:c>
    </x:row>
    <x:row r="22">
      <x:c r="A22" s="312" t="str">
        <x:v>Arms Control Association</x:v>
      </x:c>
      <x:c r="B22" s="313" t="str">
        <x:v>https://www.armscontrol.org/</x:v>
      </x:c>
      <x:c r="C22" s="404" t="str">
        <x:v>Global</x:v>
      </x:c>
      <x:c r="D22" s="308" t="str">
        <x:v>ONG especializada</x:v>
      </x:c>
      <x:c r="E22" s="308" t="str">
        <x:v>Análisis y advocacy sobre control de armas</x:v>
      </x:c>
      <x:c r="F22" s="308" t="str">
        <x:v>Control de armas / no proliferación</x:v>
      </x:c>
      <x:c r="G22" s="311" t="n">
        <x:v>4.3</x:v>
      </x:c>
      <x:c r="H22" s="309" t="str">
        <x:v>Alta</x:v>
      </x:c>
      <x:c r="I22" s="308" t="str">
        <x:v>Cronologías, tratados y política de no proliferación</x:v>
      </x:c>
      <x:c r="J22" s="308" t="str">
        <x:v>Moderada</x:v>
      </x:c>
      <x:c r="K22" s="308" t="str">
        <x:v>Activo</x:v>
      </x:c>
      <x:c r="L22" s="309" t="n">
        <x:v>42</x:v>
      </x:c>
    </x:row>
    <x:row r="23">
      <x:c r="A23" s="312" t="str">
        <x:v>Agence France-Presse (AFP)</x:v>
      </x:c>
      <x:c r="B23" s="313" t="str">
        <x:v>https://www.afp.com/</x:v>
      </x:c>
      <x:c r="C23" s="404" t="str">
        <x:v>Global</x:v>
      </x:c>
      <x:c r="D23" s="308" t="str">
        <x:v>Agencia de noticias</x:v>
      </x:c>
      <x:c r="E23" s="308" t="str">
        <x:v>Confirmación factual y noticias urgentes</x:v>
      </x:c>
      <x:c r="F23" s="308" t="str">
        <x:v>Global / francesa</x:v>
      </x:c>
      <x:c r="G23" s="311" t="n">
        <x:v>5</x:v>
      </x:c>
      <x:c r="H23" s="309" t="str">
        <x:v>Alta</x:v>
      </x:c>
      <x:c r="I23" s="308" t="str">
        <x:v>Fuente base para hechos y verificación visual</x:v>
      </x:c>
      <x:c r="J23" s="308" t="str">
        <x:v>Baja</x:v>
      </x:c>
      <x:c r="K23" s="308" t="str">
        <x:v>Nuevo recomendado</x:v>
      </x:c>
      <x:c r="L23" s="309" t="n">
        <x:v>13</x:v>
      </x:c>
    </x:row>
    <x:row r="24">
      <x:c r="A24" s="312" t="str">
        <x:v>Associated Press (AP)</x:v>
      </x:c>
      <x:c r="B24" s="313" t="str">
        <x:v>https://apnews.com/</x:v>
      </x:c>
      <x:c r="C24" s="404" t="str">
        <x:v>Global</x:v>
      </x:c>
      <x:c r="D24" s="308" t="str">
        <x:v>Agencia de noticias</x:v>
      </x:c>
      <x:c r="E24" s="308" t="str">
        <x:v>Confirmación factual y noticias urgentes</x:v>
      </x:c>
      <x:c r="F24" s="308" t="str">
        <x:v>Global</x:v>
      </x:c>
      <x:c r="G24" s="311" t="n">
        <x:v>5</x:v>
      </x:c>
      <x:c r="H24" s="309" t="str">
        <x:v>Alta</x:v>
      </x:c>
      <x:c r="I24" s="308" t="str">
        <x:v>Fuente base para hechos y noticias urgentes</x:v>
      </x:c>
      <x:c r="J24" s="308" t="str">
        <x:v>Baja</x:v>
      </x:c>
      <x:c r="K24" s="308" t="str">
        <x:v>Nuevo recomendado</x:v>
      </x:c>
      <x:c r="L24" s="309" t="n">
        <x:v>12</x:v>
      </x:c>
    </x:row>
    <x:row r="25">
      <x:c r="A25" s="312" t="str">
        <x:v>Reuters</x:v>
      </x:c>
      <x:c r="B25" s="313" t="str">
        <x:v>https://www.reuters.com/</x:v>
      </x:c>
      <x:c r="C25" s="404" t="str">
        <x:v>Global</x:v>
      </x:c>
      <x:c r="D25" s="308" t="str">
        <x:v>Agencia de noticias</x:v>
      </x:c>
      <x:c r="E25" s="308" t="str">
        <x:v>Confirmación factual y noticias urgentes</x:v>
      </x:c>
      <x:c r="F25" s="308" t="str">
        <x:v>Global / mercados</x:v>
      </x:c>
      <x:c r="G25" s="311" t="n">
        <x:v>5</x:v>
      </x:c>
      <x:c r="H25" s="309" t="str">
        <x:v>Alta</x:v>
      </x:c>
      <x:c r="I25" s="308" t="str">
        <x:v>Fuente base para hechos y noticias urgentes</x:v>
      </x:c>
      <x:c r="J25" s="308" t="str">
        <x:v>Baja</x:v>
      </x:c>
      <x:c r="K25" s="308" t="str">
        <x:v>Activo</x:v>
      </x:c>
      <x:c r="L25" s="309" t="n">
        <x:v>8</x:v>
      </x:c>
    </x:row>
    <x:row r="26">
      <x:c r="A26" s="312" t="str">
        <x:v>SIPRI</x:v>
      </x:c>
      <x:c r="B26" s="313" t="str">
        <x:v>https://www.sipri.org/</x:v>
      </x:c>
      <x:c r="C26" s="404" t="str">
        <x:v>Global</x:v>
      </x:c>
      <x:c r="D26" s="308" t="str">
        <x:v>Instituto de investigación</x:v>
      </x:c>
      <x:c r="E26" s="308" t="str">
        <x:v>Datos de armamentos, gasto militar y paz</x:v>
      </x:c>
      <x:c r="F26" s="308" t="str">
        <x:v>Nórdica / multilateral</x:v>
      </x:c>
      <x:c r="G26" s="311" t="n">
        <x:v>4.8</x:v>
      </x:c>
      <x:c r="H26" s="309" t="str">
        <x:v>Alta</x:v>
      </x:c>
      <x:c r="I26" s="308" t="str">
        <x:v>Datos de gasto militar, armas y transferencias</x:v>
      </x:c>
      <x:c r="J26" s="308" t="str">
        <x:v>Baja</x:v>
      </x:c>
      <x:c r="K26" s="308" t="str">
        <x:v>Nuevo recomendado</x:v>
      </x:c>
      <x:c r="L26" s="309" t="n">
        <x:v>43</x:v>
      </x:c>
    </x:row>
    <x:row r="27">
      <x:c r="A27" s="312" t="str">
        <x:v>ACLED</x:v>
      </x:c>
      <x:c r="B27" s="313" t="str">
        <x:v>https://acleddata.com/</x:v>
      </x:c>
      <x:c r="C27" s="404" t="str">
        <x:v>Global</x:v>
      </x:c>
      <x:c r="D27" s="308" t="str">
        <x:v>Base de datos de conflictos</x:v>
      </x:c>
      <x:c r="E27" s="308" t="str">
        <x:v>Datos estructurados sobre violencia política</x:v>
      </x:c>
      <x:c r="F27" s="308" t="str">
        <x:v>Global / conflicto</x:v>
      </x:c>
      <x:c r="G27" s="311" t="n">
        <x:v>4.8</x:v>
      </x:c>
      <x:c r="H27" s="309" t="str">
        <x:v>Alta</x:v>
      </x:c>
      <x:c r="I27" s="308" t="str">
        <x:v>Datos de eventos, tendencias y mapas de conflicto</x:v>
      </x:c>
      <x:c r="J27" s="308" t="str">
        <x:v>Moderada</x:v>
      </x:c>
      <x:c r="K27" s="308" t="str">
        <x:v>Nuevo recomendado</x:v>
      </x:c>
      <x:c r="L27" s="309" t="n">
        <x:v>68</x:v>
      </x:c>
    </x:row>
    <x:row r="28">
      <x:c r="A28" s="312" t="str">
        <x:v>U.S. Energy Information Administration (EIA)</x:v>
      </x:c>
      <x:c r="B28" s="313" t="str">
        <x:v>https://www.eia.gov/</x:v>
      </x:c>
      <x:c r="C28" s="404" t="str">
        <x:v>Global</x:v>
      </x:c>
      <x:c r="D28" s="308" t="str">
        <x:v>Agencia gubernamental</x:v>
      </x:c>
      <x:c r="E28" s="308" t="str">
        <x:v>Datos y análisis energéticos</x:v>
      </x:c>
      <x:c r="F28" s="308" t="str">
        <x:v>Estadounidense / energética</x:v>
      </x:c>
      <x:c r="G28" s="311" t="n">
        <x:v>4.8</x:v>
      </x:c>
      <x:c r="H28" s="309" t="str">
        <x:v>Alta</x:v>
      </x:c>
      <x:c r="I28" s="308" t="str">
        <x:v>Datos de energía, petróleo y gas</x:v>
      </x:c>
      <x:c r="J28" s="308" t="str">
        <x:v>Baja</x:v>
      </x:c>
      <x:c r="K28" s="308" t="str">
        <x:v>Activo</x:v>
      </x:c>
      <x:c r="L28" s="309" t="n">
        <x:v>56</x:v>
      </x:c>
    </x:row>
    <x:row r="29">
      <x:c r="A29" s="312" t="str">
        <x:v>UNESCO</x:v>
      </x:c>
      <x:c r="B29" s="313" t="str">
        <x:v>https://www.unesco.org/</x:v>
      </x:c>
      <x:c r="C29" s="404" t="str">
        <x:v>Global</x:v>
      </x:c>
      <x:c r="D29" s="308" t="str">
        <x:v>Organismo internacional</x:v>
      </x:c>
      <x:c r="E29" s="308" t="str">
        <x:v>Datos, normas y programas</x:v>
      </x:c>
      <x:c r="F29" s="308" t="str">
        <x:v>Educación, ciencia y cultura</x:v>
      </x:c>
      <x:c r="G29" s="311" t="n">
        <x:v>4.3</x:v>
      </x:c>
      <x:c r="H29" s="309" t="str">
        <x:v>Alta</x:v>
      </x:c>
      <x:c r="I29" s="308" t="str">
        <x:v>Datos institucionales, patrimonio y libertad de expresión</x:v>
      </x:c>
      <x:c r="J29" s="308" t="str">
        <x:v>Moderada</x:v>
      </x:c>
      <x:c r="K29" s="308" t="str">
        <x:v>Activo</x:v>
      </x:c>
      <x:c r="L29" s="309" t="n">
        <x:v>59</x:v>
      </x:c>
    </x:row>
    <x:row r="30">
      <x:c r="A30" s="312" t="str">
        <x:v>IISS</x:v>
      </x:c>
      <x:c r="B30" s="313" t="str">
        <x:v>https://www.iiss.org/</x:v>
      </x:c>
      <x:c r="C30" s="404" t="str">
        <x:v>Global</x:v>
      </x:c>
      <x:c r="D30" s="308" t="str">
        <x:v>Think tank</x:v>
      </x:c>
      <x:c r="E30" s="308" t="str">
        <x:v>Defensa, seguridad y equilibrio militar</x:v>
      </x:c>
      <x:c r="F30" s="308" t="str">
        <x:v>Transatlántica</x:v>
      </x:c>
      <x:c r="G30" s="311" t="n">
        <x:v>4.7</x:v>
      </x:c>
      <x:c r="H30" s="309" t="str">
        <x:v>Alta</x:v>
      </x:c>
      <x:c r="I30" s="308" t="str">
        <x:v>Defensa, capacidades militares y estrategia</x:v>
      </x:c>
      <x:c r="J30" s="308" t="str">
        <x:v>Moderada</x:v>
      </x:c>
      <x:c r="K30" s="308" t="str">
        <x:v>Activo</x:v>
      </x:c>
      <x:c r="L30" s="309" t="n">
        <x:v>36</x:v>
      </x:c>
    </x:row>
    <x:row r="31">
      <x:c r="A31" s="312" t="str">
        <x:v>RUSI</x:v>
      </x:c>
      <x:c r="B31" s="313" t="str">
        <x:v>https://www.rusi.org/</x:v>
      </x:c>
      <x:c r="C31" s="404" t="str">
        <x:v>Global</x:v>
      </x:c>
      <x:c r="D31" s="308" t="str">
        <x:v>Think tank</x:v>
      </x:c>
      <x:c r="E31" s="308" t="str">
        <x:v>Defensa, seguridad y tecnología</x:v>
      </x:c>
      <x:c r="F31" s="308" t="str">
        <x:v>Británica / transatlántica</x:v>
      </x:c>
      <x:c r="G31" s="311" t="n">
        <x:v>4.7</x:v>
      </x:c>
      <x:c r="H31" s="309" t="str">
        <x:v>Alta</x:v>
      </x:c>
      <x:c r="I31" s="308" t="str">
        <x:v>Defensa, inteligencia y guerra tecnológica</x:v>
      </x:c>
      <x:c r="J31" s="308" t="str">
        <x:v>Moderada</x:v>
      </x:c>
      <x:c r="K31" s="308" t="str">
        <x:v>Activo</x:v>
      </x:c>
      <x:c r="L31" s="309" t="n">
        <x:v>40</x:v>
      </x:c>
    </x:row>
    <x:row r="32">
      <x:c r="A32" s="312" t="str">
        <x:v>ICRC / CICR</x:v>
      </x:c>
      <x:c r="B32" s="313" t="str">
        <x:v>https://www.icrc.org/</x:v>
      </x:c>
      <x:c r="C32" s="404" t="str">
        <x:v>Global</x:v>
      </x:c>
      <x:c r="D32" s="308" t="str">
        <x:v>Organización humanitaria</x:v>
      </x:c>
      <x:c r="E32" s="308" t="str">
        <x:v>Derecho humanitario, acceso y situación humanitaria</x:v>
      </x:c>
      <x:c r="F32" s="308" t="str">
        <x:v>Derecho internacional humanitario</x:v>
      </x:c>
      <x:c r="G32" s="311" t="n">
        <x:v>4.8</x:v>
      </x:c>
      <x:c r="H32" s="309" t="str">
        <x:v>Alta</x:v>
      </x:c>
      <x:c r="I32" s="308" t="str">
        <x:v>Derecho humanitario y situación de civiles</x:v>
      </x:c>
      <x:c r="J32" s="308" t="str">
        <x:v>Moderada</x:v>
      </x:c>
      <x:c r="K32" s="308" t="str">
        <x:v>Nuevo recomendado</x:v>
      </x:c>
      <x:c r="L32" s="309" t="n">
        <x:v>61</x:v>
      </x:c>
    </x:row>
    <x:row r="33">
      <x:c r="A33" s="312" t="str">
        <x:v>United Nations (ONU)</x:v>
      </x:c>
      <x:c r="B33" s="313" t="str">
        <x:v>https://www.un.org/</x:v>
      </x:c>
      <x:c r="C33" s="404" t="str">
        <x:v>Global</x:v>
      </x:c>
      <x:c r="D33" s="308" t="str">
        <x:v>Organismo internacional</x:v>
      </x:c>
      <x:c r="E33" s="308" t="str">
        <x:v>Documentos, resoluciones, datos y declaraciones</x:v>
      </x:c>
      <x:c r="F33" s="308" t="str">
        <x:v>Sistema ONU</x:v>
      </x:c>
      <x:c r="G33" s="311" t="n">
        <x:v>4.2</x:v>
      </x:c>
      <x:c r="H33" s="309" t="str">
        <x:v>Media-alta</x:v>
      </x:c>
      <x:c r="I33" s="308" t="str">
        <x:v>Resoluciones, informes y posiciones oficiales</x:v>
      </x:c>
      <x:c r="J33" s="308" t="str">
        <x:v>Moderada</x:v>
      </x:c>
      <x:c r="K33" s="308" t="str">
        <x:v>Activo</x:v>
      </x:c>
      <x:c r="L33" s="309" t="n">
        <x:v>58</x:v>
      </x:c>
    </x:row>
    <x:row r="34">
      <x:c r="A34" s="312" t="str">
        <x:v>Media Bias/Fact Check</x:v>
      </x:c>
      <x:c r="B34" s="313" t="str">
        <x:v>https://mediabiasfactcheck.com/</x:v>
      </x:c>
      <x:c r="C34" s="404" t="str">
        <x:v>Global</x:v>
      </x:c>
      <x:c r="D34" s="308" t="str">
        <x:v>Observatorio de medios</x:v>
      </x:c>
      <x:c r="E34" s="308" t="str">
        <x:v>Guía secundaria sobre sesgo y factualidad</x:v>
      </x:c>
      <x:c r="F34" s="308" t="str">
        <x:v>Evaluación mediática estadounidense</x:v>
      </x:c>
      <x:c r="G34" s="311" t="n">
        <x:v>3.2</x:v>
      </x:c>
      <x:c r="H34" s="309" t="str">
        <x:v>Media</x:v>
      </x:c>
      <x:c r="I34" s="308" t="str">
        <x:v>Orientación inicial; nunca árbitro único</x:v>
      </x:c>
      <x:c r="J34" s="308" t="str">
        <x:v>Alta</x:v>
      </x:c>
      <x:c r="K34" s="308" t="str">
        <x:v>Secundario</x:v>
      </x:c>
      <x:c r="L34" s="309" t="n">
        <x:v>63</x:v>
      </x:c>
    </x:row>
    <x:row r="35">
      <x:c r="A35" s="312" t="str">
        <x:v>European Journal of International Law (EJIL)</x:v>
      </x:c>
      <x:c r="B35" s="313" t="str">
        <x:v>https://www.ejil.org/</x:v>
      </x:c>
      <x:c r="C35" s="404" t="str">
        <x:v>Global</x:v>
      </x:c>
      <x:c r="D35" s="308" t="str">
        <x:v>Revista académica</x:v>
      </x:c>
      <x:c r="E35" s="308" t="str">
        <x:v>Investigación jurídica revisada por pares</x:v>
      </x:c>
      <x:c r="F35" s="308" t="str">
        <x:v>Derecho internacional</x:v>
      </x:c>
      <x:c r="G35" s="311" t="n">
        <x:v>4.8</x:v>
      </x:c>
      <x:c r="H35" s="309" t="str">
        <x:v>Alta</x:v>
      </x:c>
      <x:c r="I35" s="308" t="str">
        <x:v>Derecho internacional y jurisprudencia</x:v>
      </x:c>
      <x:c r="J35" s="308" t="str">
        <x:v>Baja a moderada</x:v>
      </x:c>
      <x:c r="K35" s="308" t="str">
        <x:v>Activo</x:v>
      </x:c>
      <x:c r="L35" s="309" t="n">
        <x:v>34</x:v>
      </x:c>
    </x:row>
    <x:row r="36">
      <x:c r="A36" s="312" t="str">
        <x:v>The Intercept</x:v>
      </x:c>
      <x:c r="B36" s="313" t="str">
        <x:v>https://theintercept.com/</x:v>
      </x:c>
      <x:c r="C36" s="404" t="str">
        <x:v>Global</x:v>
      </x:c>
      <x:c r="D36" s="308" t="str">
        <x:v>Medio de investigación</x:v>
      </x:c>
      <x:c r="E36" s="308" t="str">
        <x:v>Investigación, filtraciones y opinión</x:v>
      </x:c>
      <x:c r="F36" s="308" t="str">
        <x:v>Antivigilancia / antiintervencionista</x:v>
      </x:c>
      <x:c r="G36" s="311" t="n">
        <x:v>3.5</x:v>
      </x:c>
      <x:c r="H36" s="309" t="str">
        <x:v>Media-alta</x:v>
      </x:c>
      <x:c r="I36" s="308" t="str">
        <x:v>Investigaciones y documentos filtrados</x:v>
      </x:c>
      <x:c r="J36" s="308" t="str">
        <x:v>Alta</x:v>
      </x:c>
      <x:c r="K36" s="308" t="str">
        <x:v>Uso condicionado</x:v>
      </x:c>
      <x:c r="L36" s="309" t="n">
        <x:v>64</x:v>
      </x:c>
    </x:row>
    <x:row r="37">
      <x:c r="A37" s="312" t="str">
        <x:v>Bloomberg</x:v>
      </x:c>
      <x:c r="B37" s="313" t="str">
        <x:v>https://www.bloomberg.com/</x:v>
      </x:c>
      <x:c r="C37" s="404" t="str">
        <x:v>Global</x:v>
      </x:c>
      <x:c r="D37" s="308" t="str">
        <x:v>Medio financiero</x:v>
      </x:c>
      <x:c r="E37" s="308" t="str">
        <x:v>Mercados, empresas, energía y política económica</x:v>
      </x:c>
      <x:c r="F37" s="308" t="str">
        <x:v>Mercados globales</x:v>
      </x:c>
      <x:c r="G37" s="311" t="n">
        <x:v>4.5</x:v>
      </x:c>
      <x:c r="H37" s="309" t="str">
        <x:v>Alta</x:v>
      </x:c>
      <x:c r="I37" s="308" t="str">
        <x:v>Economía, sanciones, energía y empresas</x:v>
      </x:c>
      <x:c r="J37" s="308" t="str">
        <x:v>Moderada</x:v>
      </x:c>
      <x:c r="K37" s="308" t="str">
        <x:v>Nuevo recomendado</x:v>
      </x:c>
      <x:c r="L37" s="309" t="n">
        <x:v>14</x:v>
      </x:c>
    </x:row>
    <x:row r="38">
      <x:c r="A38" s="312" t="str">
        <x:v>Eurasia Group</x:v>
      </x:c>
      <x:c r="B38" s="313" t="str">
        <x:v>https://www.eurasiagroup.net/</x:v>
      </x:c>
      <x:c r="C38" s="404" t="str">
        <x:v>Global</x:v>
      </x:c>
      <x:c r="D38" s="308" t="str">
        <x:v>Consultoría</x:v>
      </x:c>
      <x:c r="E38" s="308" t="str">
        <x:v>Riesgo político y escenarios</x:v>
      </x:c>
      <x:c r="F38" s="308" t="str">
        <x:v>Riesgo para empresas e inversores</x:v>
      </x:c>
      <x:c r="G38" s="311" t="n">
        <x:v>3.7</x:v>
      </x:c>
      <x:c r="H38" s="309" t="str">
        <x:v>Media-alta</x:v>
      </x:c>
      <x:c r="I38" s="308" t="str">
        <x:v>Escenarios y riesgo geopolítico</x:v>
      </x:c>
      <x:c r="J38" s="308" t="str">
        <x:v>Moderada</x:v>
      </x:c>
      <x:c r="K38" s="308" t="str">
        <x:v>Activo</x:v>
      </x:c>
      <x:c r="L38" s="309" t="n">
        <x:v>35</x:v>
      </x:c>
    </x:row>
    <x:row r="39">
      <x:c r="A39" s="312" t="str">
        <x:v>Long War Journal</x:v>
      </x:c>
      <x:c r="B39" s="313" t="str">
        <x:v>https://www.longwarjournal.org/</x:v>
      </x:c>
      <x:c r="C39" s="404" t="str">
        <x:v>Global</x:v>
      </x:c>
      <x:c r="D39" s="308" t="str">
        <x:v>Análisis de seguridad</x:v>
      </x:c>
      <x:c r="E39" s="308" t="str">
        <x:v>Seguimiento de conflictos y grupos armados</x:v>
      </x:c>
      <x:c r="F39" s="308" t="str">
        <x:v>Estadounidense / seguridad nacional</x:v>
      </x:c>
      <x:c r="G39" s="311" t="n">
        <x:v>3.5</x:v>
      </x:c>
      <x:c r="H39" s="309" t="str">
        <x:v>Media-alta</x:v>
      </x:c>
      <x:c r="I39" s="308" t="str">
        <x:v>Conflictos y organizaciones yihadistas</x:v>
      </x:c>
      <x:c r="J39" s="308" t="str">
        <x:v>Alta</x:v>
      </x:c>
      <x:c r="K39" s="308" t="str">
        <x:v>Uso condicionado</x:v>
      </x:c>
      <x:c r="L39" s="309" t="n">
        <x:v>39</x:v>
      </x:c>
    </x:row>
    <x:row r="40">
      <x:c r="A40" s="312" t="str">
        <x:v>IAEA / OIEA</x:v>
      </x:c>
      <x:c r="B40" s="313" t="str">
        <x:v>https://www.iaea.org/</x:v>
      </x:c>
      <x:c r="C40" s="404" t="str">
        <x:v>Global</x:v>
      </x:c>
      <x:c r="D40" s="308" t="str">
        <x:v>Organismo internacional</x:v>
      </x:c>
      <x:c r="E40" s="308" t="str">
        <x:v>Verificación nuclear y salvaguardias</x:v>
      </x:c>
      <x:c r="F40" s="308" t="str">
        <x:v>No proliferación nuclear</x:v>
      </x:c>
      <x:c r="G40" s="311" t="n">
        <x:v>4.8</x:v>
      </x:c>
      <x:c r="H40" s="309" t="str">
        <x:v>Alta</x:v>
      </x:c>
      <x:c r="I40" s="308" t="str">
        <x:v>Verificación nuclear y documentos técnicos</x:v>
      </x:c>
      <x:c r="J40" s="308" t="str">
        <x:v>Baja a moderada</x:v>
      </x:c>
      <x:c r="K40" s="308" t="str">
        <x:v>Activo</x:v>
      </x:c>
      <x:c r="L40" s="309" t="n">
        <x:v>57</x:v>
      </x:c>
    </x:row>
    <x:row r="41">
      <x:c r="A41" s="312" t="str">
        <x:v>Bellingcat</x:v>
      </x:c>
      <x:c r="B41" s="313" t="str">
        <x:v>https://www.bellingcat.com/</x:v>
      </x:c>
      <x:c r="C41" s="404" t="str">
        <x:v>Global</x:v>
      </x:c>
      <x:c r="D41" s="308" t="str">
        <x:v>OSINT / investigación</x:v>
      </x:c>
      <x:c r="E41" s="308" t="str">
        <x:v>Verificación visual y reconstrucción de hechos</x:v>
      </x:c>
      <x:c r="F41" s="308" t="str">
        <x:v>OSINT transnacional</x:v>
      </x:c>
      <x:c r="G41" s="311" t="n">
        <x:v>4.7</x:v>
      </x:c>
      <x:c r="H41" s="309" t="str">
        <x:v>Alta</x:v>
      </x:c>
      <x:c r="I41" s="308" t="str">
        <x:v>Geolocalización, imágenes y verificación digital</x:v>
      </x:c>
      <x:c r="J41" s="308" t="str">
        <x:v>Moderada</x:v>
      </x:c>
      <x:c r="K41" s="308" t="str">
        <x:v>Activo</x:v>
      </x:c>
      <x:c r="L41" s="309" t="n">
        <x:v>62</x:v>
      </x:c>
    </x:row>
    <x:row r="42">
      <x:c r="A42" s="312" t="str">
        <x:v>Financial Times</x:v>
      </x:c>
      <x:c r="B42" s="313" t="str">
        <x:v>https://www.ft.com/</x:v>
      </x:c>
      <x:c r="C42" s="404" t="str">
        <x:v>Global/Occidente</x:v>
      </x:c>
      <x:c r="D42" s="308" t="str">
        <x:v>Medio financiero</x:v>
      </x:c>
      <x:c r="E42" s="308" t="str">
        <x:v>Economía, empresas y geopolítica</x:v>
      </x:c>
      <x:c r="F42" s="308" t="str">
        <x:v>Global / promercado / europeísta</x:v>
      </x:c>
      <x:c r="G42" s="311" t="n">
        <x:v>4.5</x:v>
      </x:c>
      <x:c r="H42" s="309" t="str">
        <x:v>Alta</x:v>
      </x:c>
      <x:c r="I42" s="308" t="str">
        <x:v>Geoeconomía, comercio y estrategia empresarial</x:v>
      </x:c>
      <x:c r="J42" s="308" t="str">
        <x:v>Moderada</x:v>
      </x:c>
      <x:c r="K42" s="308" t="str">
        <x:v>Nuevo recomendado</x:v>
      </x:c>
      <x:c r="L42" s="309" t="n">
        <x:v>15</x:v>
      </x:c>
    </x:row>
    <x:row r="43">
      <x:c r="A43" s="312" t="str">
        <x:v>The Wall Street Journal</x:v>
      </x:c>
      <x:c r="B43" s="313" t="str">
        <x:v>https://www.wsj.com/</x:v>
      </x:c>
      <x:c r="C43" s="404" t="str">
        <x:v>Global/Occidente</x:v>
      </x:c>
      <x:c r="D43" s="308" t="str">
        <x:v>Medio generalista y financiero</x:v>
      </x:c>
      <x:c r="E43" s="308" t="str">
        <x:v>Noticias económicas, empresariales y opinión</x:v>
      </x:c>
      <x:c r="F43" s="308" t="str">
        <x:v>Mercados / estadounidense</x:v>
      </x:c>
      <x:c r="G43" s="311" t="n">
        <x:v>4.5</x:v>
      </x:c>
      <x:c r="H43" s="309" t="str">
        <x:v>Alta</x:v>
      </x:c>
      <x:c r="I43" s="308" t="str">
        <x:v>Economía, empresas, sanciones y comercio</x:v>
      </x:c>
      <x:c r="J43" s="308" t="str">
        <x:v>Moderada</x:v>
      </x:c>
      <x:c r="K43" s="308" t="str">
        <x:v>Activo</x:v>
      </x:c>
      <x:c r="L43" s="309" t="n">
        <x:v>11</x:v>
      </x:c>
    </x:row>
    <x:row r="44">
      <x:c r="A44" s="312" t="str">
        <x:v>BBC News</x:v>
      </x:c>
      <x:c r="B44" s="313" t="str">
        <x:v>https://www.bbc.com/news</x:v>
      </x:c>
      <x:c r="C44" s="404" t="str">
        <x:v>Global/Occidente</x:v>
      </x:c>
      <x:c r="D44" s="308" t="str">
        <x:v>Radiodifusor público</x:v>
      </x:c>
      <x:c r="E44" s="308" t="str">
        <x:v>Noticias generales y contexto</x:v>
      </x:c>
      <x:c r="F44" s="308" t="str">
        <x:v>Británica / internacionalista</x:v>
      </x:c>
      <x:c r="G44" s="311" t="n">
        <x:v>4.8</x:v>
      </x:c>
      <x:c r="H44" s="309" t="str">
        <x:v>Alta</x:v>
      </x:c>
      <x:c r="I44" s="308" t="str">
        <x:v>Confirmación factual y contexto internacional</x:v>
      </x:c>
      <x:c r="J44" s="308" t="str">
        <x:v>Baja a moderada</x:v>
      </x:c>
      <x:c r="K44" s="308" t="str">
        <x:v>Activo</x:v>
      </x:c>
      <x:c r="L44" s="309" t="n">
        <x:v>2</x:v>
      </x:c>
    </x:row>
    <x:row r="45">
      <x:c r="A45" s="312" t="str">
        <x:v>France 24</x:v>
      </x:c>
      <x:c r="B45" s="313" t="str">
        <x:v>https://www.france24.com/</x:v>
      </x:c>
      <x:c r="C45" s="404" t="str">
        <x:v>Global/Occidente</x:v>
      </x:c>
      <x:c r="D45" s="308" t="str">
        <x:v>Radiodifusor público internacional</x:v>
      </x:c>
      <x:c r="E45" s="308" t="str">
        <x:v>Noticias internacionales</x:v>
      </x:c>
      <x:c r="F45" s="308" t="str">
        <x:v>Francesa / europea</x:v>
      </x:c>
      <x:c r="G45" s="311" t="n">
        <x:v>4.3</x:v>
      </x:c>
      <x:c r="H45" s="309" t="str">
        <x:v>Alta</x:v>
      </x:c>
      <x:c r="I45" s="308" t="str">
        <x:v>Europa, África y Medio Oriente</x:v>
      </x:c>
      <x:c r="J45" s="308" t="str">
        <x:v>Moderada</x:v>
      </x:c>
      <x:c r="K45" s="308" t="str">
        <x:v>Nuevo recomendado</x:v>
      </x:c>
      <x:c r="L45" s="309" t="n">
        <x:v>17</x:v>
      </x:c>
    </x:row>
    <x:row r="46">
      <x:c r="A46" s="312" t="str">
        <x:v>Deutsche Welle</x:v>
      </x:c>
      <x:c r="B46" s="313" t="str">
        <x:v>https://www.dw.com/</x:v>
      </x:c>
      <x:c r="C46" s="404" t="str">
        <x:v>Global/Occidente</x:v>
      </x:c>
      <x:c r="D46" s="308" t="str">
        <x:v>Radiodifusor público internacional</x:v>
      </x:c>
      <x:c r="E46" s="308" t="str">
        <x:v>Noticias y contexto</x:v>
      </x:c>
      <x:c r="F46" s="308" t="str">
        <x:v>Europea / alemana</x:v>
      </x:c>
      <x:c r="G46" s="311" t="n">
        <x:v>4.5</x:v>
      </x:c>
      <x:c r="H46" s="309" t="str">
        <x:v>Alta</x:v>
      </x:c>
      <x:c r="I46" s="308" t="str">
        <x:v>Europa, Alemania y cobertura multilingüe</x:v>
      </x:c>
      <x:c r="J46" s="308" t="str">
        <x:v>Moderada</x:v>
      </x:c>
      <x:c r="K46" s="308" t="str">
        <x:v>Nuevo recomendado</x:v>
      </x:c>
      <x:c r="L46" s="309" t="n">
        <x:v>16</x:v>
      </x:c>
    </x:row>
    <x:row r="47">
      <x:c r="A47" s="312" t="str">
        <x:v>The New York Times</x:v>
      </x:c>
      <x:c r="B47" s="313" t="str">
        <x:v>https://www.nytimes.com/</x:v>
      </x:c>
      <x:c r="C47" s="404" t="str">
        <x:v>Global/Occidente</x:v>
      </x:c>
      <x:c r="D47" s="308" t="str">
        <x:v>Medio generalista</x:v>
      </x:c>
      <x:c r="E47" s="308" t="str">
        <x:v>Noticias, investigación y análisis</x:v>
      </x:c>
      <x:c r="F47" s="308" t="str">
        <x:v>Estadounidense / liberal internacionalista</x:v>
      </x:c>
      <x:c r="G47" s="311" t="n">
        <x:v>4.5</x:v>
      </x:c>
      <x:c r="H47" s="309" t="str">
        <x:v>Alta</x:v>
      </x:c>
      <x:c r="I47" s="308" t="str">
        <x:v>Investigación y contexto profundo</x:v>
      </x:c>
      <x:c r="J47" s="308" t="str">
        <x:v>Moderada</x:v>
      </x:c>
      <x:c r="K47" s="308" t="str">
        <x:v>Activo</x:v>
      </x:c>
      <x:c r="L47" s="309" t="n">
        <x:v>10</x:v>
      </x:c>
    </x:row>
    <x:row r="48">
      <x:c r="A48" s="312" t="str">
        <x:v>The Guardian</x:v>
      </x:c>
      <x:c r="B48" s="313" t="str">
        <x:v>https://www.theguardian.com/international</x:v>
      </x:c>
      <x:c r="C48" s="404" t="str">
        <x:v>Global/Occidente</x:v>
      </x:c>
      <x:c r="D48" s="308" t="str">
        <x:v>Medio generalista</x:v>
      </x:c>
      <x:c r="E48" s="308" t="str">
        <x:v>Noticias, investigación y opinión</x:v>
      </x:c>
      <x:c r="F48" s="308" t="str">
        <x:v>Liberal / derechos humanos</x:v>
      </x:c>
      <x:c r="G48" s="311" t="n">
        <x:v>4.3</x:v>
      </x:c>
      <x:c r="H48" s="309" t="str">
        <x:v>Alta</x:v>
      </x:c>
      <x:c r="I48" s="308" t="str">
        <x:v>Investigación, sociedad y clima</x:v>
      </x:c>
      <x:c r="J48" s="308" t="str">
        <x:v>Moderada</x:v>
      </x:c>
      <x:c r="K48" s="308" t="str">
        <x:v>Activo</x:v>
      </x:c>
      <x:c r="L48" s="309" t="n">
        <x:v>9</x:v>
      </x:c>
    </x:row>
    <x:row r="49">
      <x:c r="A49" s="312" t="str">
        <x:v>Iran Human Rights</x:v>
      </x:c>
      <x:c r="B49" s="313" t="str">
        <x:v>https://iranhr.net/en/</x:v>
      </x:c>
      <x:c r="C49" s="404" t="str">
        <x:v>Irán</x:v>
      </x:c>
      <x:c r="D49" s="308" t="str">
        <x:v>ONG de derechos humanos</x:v>
      </x:c>
      <x:c r="E49" s="308" t="str">
        <x:v>Documentación y advocacy</x:v>
      </x:c>
      <x:c r="F49" s="308" t="str">
        <x:v>Diáspora iraní</x:v>
      </x:c>
      <x:c r="G49" s="311" t="n">
        <x:v>3.8</x:v>
      </x:c>
      <x:c r="H49" s="309" t="str">
        <x:v>Media-alta</x:v>
      </x:c>
      <x:c r="I49" s="308" t="str">
        <x:v>Ejecuciones y violaciones de derechos humanos</x:v>
      </x:c>
      <x:c r="J49" s="308" t="str">
        <x:v>Alta</x:v>
      </x:c>
      <x:c r="K49" s="308" t="str">
        <x:v>Uso condicionado</x:v>
      </x:c>
      <x:c r="L49" s="309" t="n">
        <x:v>66</x:v>
      </x:c>
    </x:row>
    <x:row r="50">
      <x:c r="A50" s="312" t="str">
        <x:v>IranWire</x:v>
      </x:c>
      <x:c r="B50" s="313" t="str">
        <x:v>https://iranwire.com/en/</x:v>
      </x:c>
      <x:c r="C50" s="404" t="str">
        <x:v>Irán</x:v>
      </x:c>
      <x:c r="D50" s="308" t="str">
        <x:v>Medio de oposición / DD. HH.</x:v>
      </x:c>
      <x:c r="E50" s="308" t="str">
        <x:v>Noticias, testimonios y documentación</x:v>
      </x:c>
      <x:c r="F50" s="308" t="str">
        <x:v>Diáspora iraní</x:v>
      </x:c>
      <x:c r="G50" s="311" t="n">
        <x:v>3.3</x:v>
      </x:c>
      <x:c r="H50" s="309" t="str">
        <x:v>Media</x:v>
      </x:c>
      <x:c r="I50" s="308" t="str">
        <x:v>Testimonios, sociedad iraní y temas censurados</x:v>
      </x:c>
      <x:c r="J50" s="308" t="str">
        <x:v>Alta</x:v>
      </x:c>
      <x:c r="K50" s="308" t="str">
        <x:v>Uso condicionado</x:v>
      </x:c>
      <x:c r="L50" s="309" t="n">
        <x:v>67</x:v>
      </x:c>
    </x:row>
    <x:row r="51">
      <x:c r="A51" s="312" t="str">
        <x:v>The Seventh Eye</x:v>
      </x:c>
      <x:c r="B51" s="313" t="str">
        <x:v>https://www.the7eye.org.il/</x:v>
      </x:c>
      <x:c r="C51" s="404" t="str">
        <x:v>Medio Oriente</x:v>
      </x:c>
      <x:c r="D51" s="308" t="str">
        <x:v>Watchdog de medios</x:v>
      </x:c>
      <x:c r="E51" s="308" t="str">
        <x:v>Análisis de medios, propiedad y ética</x:v>
      </x:c>
      <x:c r="F51" s="308" t="str">
        <x:v>Israelí / observación mediática</x:v>
      </x:c>
      <x:c r="G51" s="311" t="n">
        <x:v>4</x:v>
      </x:c>
      <x:c r="H51" s="309" t="str">
        <x:v>Media-alta</x:v>
      </x:c>
      <x:c r="I51" s="308" t="str">
        <x:v>Ecosistema mediático israelí y conflictos de interés</x:v>
      </x:c>
      <x:c r="J51" s="308" t="str">
        <x:v>Moderada</x:v>
      </x:c>
      <x:c r="K51" s="308" t="str">
        <x:v>Activo</x:v>
      </x:c>
      <x:c r="L51" s="309" t="n">
        <x:v>65</x:v>
      </x:c>
    </x:row>
    <x:row r="52">
      <x:c r="A52" s="312" t="str">
        <x:v>Khaleej Times</x:v>
      </x:c>
      <x:c r="B52" s="313" t="str">
        <x:v>https://www.khaleejtimes.com/</x:v>
      </x:c>
      <x:c r="C52" s="404" t="str">
        <x:v>Medio Oriente</x:v>
      </x:c>
      <x:c r="D52" s="308" t="str">
        <x:v>Medio regional</x:v>
      </x:c>
      <x:c r="E52" s="308" t="str">
        <x:v>Noticias generales y económicas</x:v>
      </x:c>
      <x:c r="F52" s="308" t="str">
        <x:v>Emiratí / Golfo</x:v>
      </x:c>
      <x:c r="G52" s="311" t="n">
        <x:v>3</x:v>
      </x:c>
      <x:c r="H52" s="309" t="str">
        <x:v>Media</x:v>
      </x:c>
      <x:c r="I52" s="308" t="str">
        <x:v>Economía y vida regional del Golfo</x:v>
      </x:c>
      <x:c r="J52" s="308" t="str">
        <x:v>Alta en asuntos internos sensibles</x:v>
      </x:c>
      <x:c r="K52" s="308" t="str">
        <x:v>Uso condicionado</x:v>
      </x:c>
      <x:c r="L52" s="309" t="n">
        <x:v>25</x:v>
      </x:c>
    </x:row>
    <x:row r="53">
      <x:c r="A53" s="312" t="str">
        <x:v>Gulf News</x:v>
      </x:c>
      <x:c r="B53" s="313" t="str">
        <x:v>https://gulfnews.com/</x:v>
      </x:c>
      <x:c r="C53" s="404" t="str">
        <x:v>Medio Oriente</x:v>
      </x:c>
      <x:c r="D53" s="308" t="str">
        <x:v>Medio regional</x:v>
      </x:c>
      <x:c r="E53" s="308" t="str">
        <x:v>Noticias generales y regionales</x:v>
      </x:c>
      <x:c r="F53" s="308" t="str">
        <x:v>Emiratí / Golfo</x:v>
      </x:c>
      <x:c r="G53" s="311" t="n">
        <x:v>3</x:v>
      </x:c>
      <x:c r="H53" s="309" t="str">
        <x:v>Media</x:v>
      </x:c>
      <x:c r="I53" s="308" t="str">
        <x:v>Economía y narrativa oficial del Golfo</x:v>
      </x:c>
      <x:c r="J53" s="308" t="str">
        <x:v>Alta en política interna y regional sensible</x:v>
      </x:c>
      <x:c r="K53" s="308" t="str">
        <x:v>Uso condicionado</x:v>
      </x:c>
      <x:c r="L53" s="309" t="n">
        <x:v>21</x:v>
      </x:c>
    </x:row>
    <x:row r="54">
      <x:c r="A54" s="312" t="str">
        <x:v>Channel 13 (Israel)</x:v>
      </x:c>
      <x:c r="B54" s="313" t="str">
        <x:v>https://13tv.co.il/</x:v>
      </x:c>
      <x:c r="C54" s="404" t="str">
        <x:v>Medio Oriente</x:v>
      </x:c>
      <x:c r="D54" s="308" t="str">
        <x:v>Televisión comercial</x:v>
      </x:c>
      <x:c r="E54" s="308" t="str">
        <x:v>Noticias nacionales</x:v>
      </x:c>
      <x:c r="F54" s="308" t="str">
        <x:v>Israelí</x:v>
      </x:c>
      <x:c r="G54" s="311" t="n">
        <x:v>3.7</x:v>
      </x:c>
      <x:c r="H54" s="309" t="str">
        <x:v>Media-alta</x:v>
      </x:c>
      <x:c r="I54" s="308" t="str">
        <x:v>Actualidad y debate político israelí</x:v>
      </x:c>
      <x:c r="J54" s="308" t="str">
        <x:v>Moderada</x:v>
      </x:c>
      <x:c r="K54" s="308" t="str">
        <x:v>Activo</x:v>
      </x:c>
      <x:c r="L54" s="309" t="n">
        <x:v>20</x:v>
      </x:c>
    </x:row>
    <x:row r="55">
      <x:c r="A55" s="312" t="str">
        <x:v>Kan (Israel)</x:v>
      </x:c>
      <x:c r="B55" s="313" t="str">
        <x:v>https://www.kan.org.il/</x:v>
      </x:c>
      <x:c r="C55" s="404" t="str">
        <x:v>Medio Oriente</x:v>
      </x:c>
      <x:c r="D55" s="308" t="str">
        <x:v>Radiodifusor público</x:v>
      </x:c>
      <x:c r="E55" s="308" t="str">
        <x:v>Noticias nacionales e internacionales</x:v>
      </x:c>
      <x:c r="F55" s="308" t="str">
        <x:v>Israelí / servicio público</x:v>
      </x:c>
      <x:c r="G55" s="311" t="n">
        <x:v>4.2</x:v>
      </x:c>
      <x:c r="H55" s="309" t="str">
        <x:v>Media-alta</x:v>
      </x:c>
      <x:c r="I55" s="308" t="str">
        <x:v>Cobertura nacional y fuente audiovisual pública</x:v>
      </x:c>
      <x:c r="J55" s="308" t="str">
        <x:v>Moderada</x:v>
      </x:c>
      <x:c r="K55" s="308" t="str">
        <x:v>Activo</x:v>
      </x:c>
      <x:c r="L55" s="309" t="n">
        <x:v>24</x:v>
      </x:c>
    </x:row>
    <x:row r="56">
      <x:c r="A56" s="312" t="str">
        <x:v>N12 (Israel)</x:v>
      </x:c>
      <x:c r="B56" s="313" t="str">
        <x:v>https://www.n12.co.il/</x:v>
      </x:c>
      <x:c r="C56" s="404" t="str">
        <x:v>Medio Oriente</x:v>
      </x:c>
      <x:c r="D56" s="308" t="str">
        <x:v>Portal de noticias de televisión</x:v>
      </x:c>
      <x:c r="E56" s="308" t="str">
        <x:v>Noticias nacionales y breaking news</x:v>
      </x:c>
      <x:c r="F56" s="308" t="str">
        <x:v>Israelí</x:v>
      </x:c>
      <x:c r="G56" s="311" t="n">
        <x:v>3.5</x:v>
      </x:c>
      <x:c r="H56" s="309" t="str">
        <x:v>Media-alta</x:v>
      </x:c>
      <x:c r="I56" s="308" t="str">
        <x:v>Noticias urgentes y política israelí</x:v>
      </x:c>
      <x:c r="J56" s="308" t="str">
        <x:v>Moderada</x:v>
      </x:c>
      <x:c r="K56" s="308" t="str">
        <x:v>Activo</x:v>
      </x:c>
      <x:c r="L56" s="309" t="n">
        <x:v>27</x:v>
      </x:c>
    </x:row>
    <x:row r="57">
      <x:c r="A57" s="312" t="str">
        <x:v>Ynet</x:v>
      </x:c>
      <x:c r="B57" s="313" t="str">
        <x:v>https://www.ynetnews.com/</x:v>
      </x:c>
      <x:c r="C57" s="404" t="str">
        <x:v>Medio Oriente</x:v>
      </x:c>
      <x:c r="D57" s="308" t="str">
        <x:v>Portal generalista</x:v>
      </x:c>
      <x:c r="E57" s="308" t="str">
        <x:v>Noticias nacionales y opinión</x:v>
      </x:c>
      <x:c r="F57" s="308" t="str">
        <x:v>Israelí</x:v>
      </x:c>
      <x:c r="G57" s="311" t="n">
        <x:v>3.3</x:v>
      </x:c>
      <x:c r="H57" s="309" t="str">
        <x:v>Media</x:v>
      </x:c>
      <x:c r="I57" s="308" t="str">
        <x:v>Actualidad israelí de amplio alcance</x:v>
      </x:c>
      <x:c r="J57" s="308" t="str">
        <x:v>Moderada</x:v>
      </x:c>
      <x:c r="K57" s="308" t="str">
        <x:v>Activo</x:v>
      </x:c>
      <x:c r="L57" s="309" t="n">
        <x:v>29</x:v>
      </x:c>
    </x:row>
    <x:row r="58">
      <x:c r="A58" s="312" t="str">
        <x:v>The Times of Israel</x:v>
      </x:c>
      <x:c r="B58" s="313" t="str">
        <x:v>https://www.timesofisrael.com/</x:v>
      </x:c>
      <x:c r="C58" s="404" t="str">
        <x:v>Medio Oriente</x:v>
      </x:c>
      <x:c r="D58" s="308" t="str">
        <x:v>Medio digital generalista</x:v>
      </x:c>
      <x:c r="E58" s="308" t="str">
        <x:v>Noticias y análisis</x:v>
      </x:c>
      <x:c r="F58" s="308" t="str">
        <x:v>Israelí / diáspora judía</x:v>
      </x:c>
      <x:c r="G58" s="311" t="n">
        <x:v>4</x:v>
      </x:c>
      <x:c r="H58" s="309" t="str">
        <x:v>Media-alta</x:v>
      </x:c>
      <x:c r="I58" s="308" t="str">
        <x:v>Israel y Medio Oriente para audiencia internacional</x:v>
      </x:c>
      <x:c r="J58" s="308" t="str">
        <x:v>Moderada</x:v>
      </x:c>
      <x:c r="K58" s="308" t="str">
        <x:v>Activo</x:v>
      </x:c>
      <x:c r="L58" s="309" t="n">
        <x:v>28</x:v>
      </x:c>
    </x:row>
    <x:row r="59">
      <x:c r="A59" s="312" t="str">
        <x:v>Maariv</x:v>
      </x:c>
      <x:c r="B59" s="313" t="str">
        <x:v>https://www.maariv.co.il/</x:v>
      </x:c>
      <x:c r="C59" s="404" t="str">
        <x:v>Medio Oriente</x:v>
      </x:c>
      <x:c r="D59" s="308" t="str">
        <x:v>Medio generalista</x:v>
      </x:c>
      <x:c r="E59" s="308" t="str">
        <x:v>Noticias y opinión</x:v>
      </x:c>
      <x:c r="F59" s="308" t="str">
        <x:v>Israelí</x:v>
      </x:c>
      <x:c r="G59" s="311" t="n">
        <x:v>3.2</x:v>
      </x:c>
      <x:c r="H59" s="309" t="str">
        <x:v>Media</x:v>
      </x:c>
      <x:c r="I59" s="308" t="str">
        <x:v>Política y sociedad israelí</x:v>
      </x:c>
      <x:c r="J59" s="308" t="str">
        <x:v>Moderada</x:v>
      </x:c>
      <x:c r="K59" s="308" t="str">
        <x:v>Activo</x:v>
      </x:c>
      <x:c r="L59" s="309" t="n">
        <x:v>26</x:v>
      </x:c>
    </x:row>
    <x:row r="60">
      <x:c r="A60" s="312" t="str">
        <x:v>Al Jazeera Arabic</x:v>
      </x:c>
      <x:c r="B60" s="313" t="str">
        <x:v>https://www.aljazeera.net/</x:v>
      </x:c>
      <x:c r="C60" s="404" t="str">
        <x:v>Medio Oriente</x:v>
      </x:c>
      <x:c r="D60" s="308" t="str">
        <x:v>Red regional</x:v>
      </x:c>
      <x:c r="E60" s="308" t="str">
        <x:v>Noticias, debates y análisis</x:v>
      </x:c>
      <x:c r="F60" s="308" t="str">
        <x:v>Catarí / panárabe</x:v>
      </x:c>
      <x:c r="G60" s="311" t="n">
        <x:v>3</x:v>
      </x:c>
      <x:c r="H60" s="309" t="str">
        <x:v>Media</x:v>
      </x:c>
      <x:c r="I60" s="308" t="str">
        <x:v>Seguimiento de narrativas árabes y agenda regional</x:v>
      </x:c>
      <x:c r="J60" s="308" t="str">
        <x:v>Alta</x:v>
      </x:c>
      <x:c r="K60" s="308" t="str">
        <x:v>Nuevo recomendado</x:v>
      </x:c>
      <x:c r="L60" s="309" t="n">
        <x:v>19</x:v>
      </x:c>
    </x:row>
    <x:row r="61">
      <x:c r="A61" s="312" t="str">
        <x:v>Middle East Eye</x:v>
      </x:c>
      <x:c r="B61" s="313" t="str">
        <x:v>https://www.middleeasteye.net/</x:v>
      </x:c>
      <x:c r="C61" s="404" t="str">
        <x:v>Medio Oriente</x:v>
      </x:c>
      <x:c r="D61" s="308" t="str">
        <x:v>Medio regional independiente</x:v>
      </x:c>
      <x:c r="E61" s="308" t="str">
        <x:v>Noticias, investigación y opinión</x:v>
      </x:c>
      <x:c r="F61" s="308" t="str">
        <x:v>Regional / crítica de gobiernos occidentales e Israel</x:v>
      </x:c>
      <x:c r="G61" s="311" t="n">
        <x:v>2.8</x:v>
      </x:c>
      <x:c r="H61" s="309" t="str">
        <x:v>Media</x:v>
      </x:c>
      <x:c r="I61" s="308" t="str">
        <x:v>Perspectivas regionales y temas subcubiertos</x:v>
      </x:c>
      <x:c r="J61" s="308" t="str">
        <x:v>Alta</x:v>
      </x:c>
      <x:c r="K61" s="308" t="str">
        <x:v>Uso condicionado</x:v>
      </x:c>
      <x:c r="L61" s="309" t="n">
        <x:v>30</x:v>
      </x:c>
    </x:row>
    <x:row r="62">
      <x:c r="A62" s="312" t="str">
        <x:v>Haaretz</x:v>
      </x:c>
      <x:c r="B62" s="313" t="str">
        <x:v>https://www.haaretz.com/</x:v>
      </x:c>
      <x:c r="C62" s="404" t="str">
        <x:v>Medio Oriente</x:v>
      </x:c>
      <x:c r="D62" s="308" t="str">
        <x:v>Medio generalista</x:v>
      </x:c>
      <x:c r="E62" s="308" t="str">
        <x:v>Noticias, investigación, análisis y opinión</x:v>
      </x:c>
      <x:c r="F62" s="308" t="str">
        <x:v>Israelí liberal; crítico de la ocupación</x:v>
      </x:c>
      <x:c r="G62" s="311" t="n">
        <x:v>3.8</x:v>
      </x:c>
      <x:c r="H62" s="309" t="str">
        <x:v>Media-alta</x:v>
      </x:c>
      <x:c r="I62" s="308" t="str">
        <x:v>Investigación y perspectiva liberal israelí</x:v>
      </x:c>
      <x:c r="J62" s="308" t="str">
        <x:v>Moderada</x:v>
      </x:c>
      <x:c r="K62" s="308" t="str">
        <x:v>Activo</x:v>
      </x:c>
      <x:c r="L62" s="309" t="n">
        <x:v>23</x:v>
      </x:c>
    </x:row>
    <x:row r="63">
      <x:c r="A63" s="312" t="str">
        <x:v>Shakuf — שקוף</x:v>
      </x:c>
      <x:c r="B63" s="313" t="str">
        <x:v>https://shakuf.co.il/</x:v>
      </x:c>
      <x:c r="C63" s="404" t="str">
        <x:v>Medio Oriente</x:v>
      </x:c>
      <x:c r="D63" s="308" t="str">
        <x:v>Medio independiente / watchdog</x:v>
      </x:c>
      <x:c r="E63" s="308" t="str">
        <x:v>Periodismo de investigación, transparencia y fiscalización del poder</x:v>
      </x:c>
      <x:c r="F63" s="308" t="str">
        <x:v>Israelí / democracia, rendición de cuentas y anticorrupción</x:v>
      </x:c>
      <x:c r="G63" s="311" t="n">
        <x:v>4.5</x:v>
      </x:c>
      <x:c r="H63" s="309" t="str">
        <x:v>Alta</x:v>
      </x:c>
      <x:c r="I63" s="308" t="str">
        <x:v>Investigación sobre corrupción, toma de decisiones, lobbies, medioambiente y economía en Israel</x:v>
      </x:c>
      <x:c r="J63" s="308" t="str">
        <x:v>Moderada</x:v>
      </x:c>
      <x:c r="K63" s="308" t="str">
        <x:v>Activo</x:v>
      </x:c>
      <x:c r="L63" s="309" t="n">
        <x:v>74</x:v>
      </x:c>
    </x:row>
    <x:row r="64">
      <x:c r="A64" s="312" t="str">
        <x:v>Ha-Makom</x:v>
      </x:c>
      <x:c r="B64" s="313" t="str">
        <x:v>https://www.ha-makom.co.il/</x:v>
      </x:c>
      <x:c r="C64" s="404" t="str">
        <x:v>Medio Oriente</x:v>
      </x:c>
      <x:c r="D64" s="308" t="str">
        <x:v>Investigación / medio crítico</x:v>
      </x:c>
      <x:c r="E64" s="308" t="str">
        <x:v>Reportajes e investigación</x:v>
      </x:c>
      <x:c r="F64" s="308" t="str">
        <x:v>Israelí / derechos civiles</x:v>
      </x:c>
      <x:c r="G64" s="311" t="n">
        <x:v>3.7</x:v>
      </x:c>
      <x:c r="H64" s="309" t="str">
        <x:v>Media-alta</x:v>
      </x:c>
      <x:c r="I64" s="308" t="str">
        <x:v>Investigación social y política israelí</x:v>
      </x:c>
      <x:c r="J64" s="308" t="str">
        <x:v>Moderada</x:v>
      </x:c>
      <x:c r="K64" s="308" t="str">
        <x:v>Activo</x:v>
      </x:c>
      <x:c r="L64" s="309" t="n">
        <x:v>22</x:v>
      </x:c>
    </x:row>
    <x:row r="65">
      <x:c r="A65" s="312" t="str">
        <x:v>INSS</x:v>
      </x:c>
      <x:c r="B65" s="313" t="str">
        <x:v>https://www.inss.org.il/</x:v>
      </x:c>
      <x:c r="C65" s="404" t="str">
        <x:v>Medio Oriente</x:v>
      </x:c>
      <x:c r="D65" s="308" t="str">
        <x:v>Think tank</x:v>
      </x:c>
      <x:c r="E65" s="308" t="str">
        <x:v>Seguridad nacional y estrategia</x:v>
      </x:c>
      <x:c r="F65" s="308" t="str">
        <x:v>Israelí / seguridad nacional</x:v>
      </x:c>
      <x:c r="G65" s="311" t="n">
        <x:v>3.8</x:v>
      </x:c>
      <x:c r="H65" s="309" t="str">
        <x:v>Media-alta</x:v>
      </x:c>
      <x:c r="I65" s="308" t="str">
        <x:v>Seguridad israelí y escenarios regionales</x:v>
      </x:c>
      <x:c r="J65" s="308" t="str">
        <x:v>Moderada-alta</x:v>
      </x:c>
      <x:c r="K65" s="308" t="str">
        <x:v>Activo</x:v>
      </x:c>
      <x:c r="L65" s="309" t="n">
        <x:v>37</x:v>
      </x:c>
    </x:row>
    <x:row r="66">
      <x:c r="A66" s="312" t="str">
        <x:v>U.S. CENTCOM</x:v>
      </x:c>
      <x:c r="B66" s="313" t="str">
        <x:v>https://www.centcom.mil/</x:v>
      </x:c>
      <x:c r="C66" s="404" t="str">
        <x:v>Medio Oriente/Asia Central</x:v>
      </x:c>
      <x:c r="D66" s="308" t="str">
        <x:v>Comando militar</x:v>
      </x:c>
      <x:c r="E66" s="308" t="str">
        <x:v>Comunicados y posición operativa oficial</x:v>
      </x:c>
      <x:c r="F66" s="308" t="str">
        <x:v>Estadounidense / militar</x:v>
      </x:c>
      <x:c r="G66" s="311" t="n">
        <x:v>3.2</x:v>
      </x:c>
      <x:c r="H66" s="309" t="str">
        <x:v>Media</x:v>
      </x:c>
      <x:c r="I66" s="308" t="str">
        <x:v>Declaraciones oficiales y cronología militar estadounidense</x:v>
      </x:c>
      <x:c r="J66" s="308" t="str">
        <x:v>Obligatoria</x:v>
      </x:c>
      <x:c r="K66" s="308" t="str">
        <x:v>Uso condicionado</x:v>
      </x:c>
      <x:c r="L66" s="309" t="n">
        <x:v>60</x:v>
      </x:c>
    </x:row>
    <x:row r="67">
      <x:c r="A67" s="312" t="str">
        <x:v>Al Jazeera English</x:v>
      </x:c>
      <x:c r="B67" s="313" t="str">
        <x:v>https://www.aljazeera.com/</x:v>
      </x:c>
      <x:c r="C67" s="404" t="str">
        <x:v>Medio Oriente/Global</x:v>
      </x:c>
      <x:c r="D67" s="308" t="str">
        <x:v>Red internacional</x:v>
      </x:c>
      <x:c r="E67" s="308" t="str">
        <x:v>Noticias, documentales y análisis</x:v>
      </x:c>
      <x:c r="F67" s="308" t="str">
        <x:v>Catarí / Global South</x:v>
      </x:c>
      <x:c r="G67" s="311" t="n">
        <x:v>3.7</x:v>
      </x:c>
      <x:c r="H67" s="309" t="str">
        <x:v>Media-alta</x:v>
      </x:c>
      <x:c r="I67" s="308" t="str">
        <x:v>Perspectiva regional y Global South</x:v>
      </x:c>
      <x:c r="J67" s="308" t="str">
        <x:v>Alta en asuntos sensibles para Qatar</x:v>
      </x:c>
      <x:c r="K67" s="308" t="str">
        <x:v>Uso condicionado</x:v>
      </x:c>
      <x:c r="L67" s="309" t="n">
        <x:v>18</x:v>
      </x:c>
    </x:row>
    <x:row r="68">
      <x:c r="A68" s="312" t="str">
        <x:v>Press Gazette</x:v>
      </x:c>
      <x:c r="B68" s="313" t="str">
        <x:v>https://pressgazette.co.uk/</x:v>
      </x:c>
      <x:c r="C68" s="404" t="str">
        <x:v>Occidente</x:v>
      </x:c>
      <x:c r="D68" s="308" t="str">
        <x:v>Publicación profesional</x:v>
      </x:c>
      <x:c r="E68" s="308" t="str">
        <x:v>Industria periodística y medios</x:v>
      </x:c>
      <x:c r="F68" s="308" t="str">
        <x:v>Industria mediática británica</x:v>
      </x:c>
      <x:c r="G68" s="311" t="n">
        <x:v>4.2</x:v>
      </x:c>
      <x:c r="H68" s="309" t="str">
        <x:v>Media-alta</x:v>
      </x:c>
      <x:c r="I68" s="308" t="str">
        <x:v>Propiedad de medios, tendencias y libertad de prensa</x:v>
      </x:c>
      <x:c r="J68" s="308" t="str">
        <x:v>Moderada</x:v>
      </x:c>
      <x:c r="K68" s="308" t="str">
        <x:v>Secundario</x:v>
      </x:c>
      <x:c r="L68" s="309" t="n">
        <x:v>73</x:v>
      </x:c>
    </x:row>
    <x:row r="69">
      <x:c r="A69" s="312" t="str">
        <x:v>NBC News</x:v>
      </x:c>
      <x:c r="B69" s="313" t="str">
        <x:v>https://www.nbcnews.com/</x:v>
      </x:c>
      <x:c r="C69" s="404" t="str">
        <x:v>Occidente</x:v>
      </x:c>
      <x:c r="D69" s="308" t="str">
        <x:v>Televisión y medio digital</x:v>
      </x:c>
      <x:c r="E69" s="308" t="str">
        <x:v>Noticias generales</x:v>
      </x:c>
      <x:c r="F69" s="308" t="str">
        <x:v>Estadounidense</x:v>
      </x:c>
      <x:c r="G69" s="311" t="n">
        <x:v>4</x:v>
      </x:c>
      <x:c r="H69" s="309" t="str">
        <x:v>Media-alta</x:v>
      </x:c>
      <x:c r="I69" s="308" t="str">
        <x:v>Política y sociedad de Estados Unidos</x:v>
      </x:c>
      <x:c r="J69" s="308" t="str">
        <x:v>Moderada</x:v>
      </x:c>
      <x:c r="K69" s="308" t="str">
        <x:v>Activo</x:v>
      </x:c>
      <x:c r="L69" s="309" t="n">
        <x:v>6</x:v>
      </x:c>
    </x:row>
    <x:row r="70">
      <x:c r="A70" s="312" t="str">
        <x:v>La Vanguardia</x:v>
      </x:c>
      <x:c r="B70" s="313" t="str">
        <x:v>https://www.lavanguardia.com/</x:v>
      </x:c>
      <x:c r="C70" s="404" t="str">
        <x:v>Occidente</x:v>
      </x:c>
      <x:c r="D70" s="308" t="str">
        <x:v>Medio generalista</x:v>
      </x:c>
      <x:c r="E70" s="308" t="str">
        <x:v>Noticias y análisis</x:v>
      </x:c>
      <x:c r="F70" s="308" t="str">
        <x:v>España / Europa</x:v>
      </x:c>
      <x:c r="G70" s="311" t="n">
        <x:v>4</x:v>
      </x:c>
      <x:c r="H70" s="309" t="str">
        <x:v>Media-alta</x:v>
      </x:c>
      <x:c r="I70" s="308" t="str">
        <x:v>España, Europa y contexto internacional</x:v>
      </x:c>
      <x:c r="J70" s="308" t="str">
        <x:v>Moderada</x:v>
      </x:c>
      <x:c r="K70" s="308" t="str">
        <x:v>Activo</x:v>
      </x:c>
      <x:c r="L70" s="309" t="n">
        <x:v>5</x:v>
      </x:c>
    </x:row>
    <x:row r="71">
      <x:c r="A71" s="312" t="str">
        <x:v>Axios</x:v>
      </x:c>
      <x:c r="B71" s="313" t="str">
        <x:v>https://www.axios.com/</x:v>
      </x:c>
      <x:c r="C71" s="404" t="str">
        <x:v>Occidente</x:v>
      </x:c>
      <x:c r="D71" s="308" t="str">
        <x:v>Medio generalista</x:v>
      </x:c>
      <x:c r="E71" s="308" t="str">
        <x:v>Noticias y explicación breve</x:v>
      </x:c>
      <x:c r="F71" s="308" t="str">
        <x:v>Estadounidense / política pública</x:v>
      </x:c>
      <x:c r="G71" s="311" t="n">
        <x:v>4</x:v>
      </x:c>
      <x:c r="H71" s="309" t="str">
        <x:v>Media-alta</x:v>
      </x:c>
      <x:c r="I71" s="308" t="str">
        <x:v>Seguimiento rápido de política estadounidense</x:v>
      </x:c>
      <x:c r="J71" s="308" t="str">
        <x:v>Moderada</x:v>
      </x:c>
      <x:c r="K71" s="308" t="str">
        <x:v>Activo</x:v>
      </x:c>
      <x:c r="L71" s="309" t="n">
        <x:v>1</x:v>
      </x:c>
    </x:row>
    <x:row r="72">
      <x:c r="A72" s="312" t="str">
        <x:v>Politico</x:v>
      </x:c>
      <x:c r="B72" s="313" t="str">
        <x:v>https://www.politico.com/</x:v>
      </x:c>
      <x:c r="C72" s="404" t="str">
        <x:v>Occidente</x:v>
      </x:c>
      <x:c r="D72" s="308" t="str">
        <x:v>Medio especializado</x:v>
      </x:c>
      <x:c r="E72" s="308" t="str">
        <x:v>Política pública y poder institucional</x:v>
      </x:c>
      <x:c r="F72" s="308" t="str">
        <x:v>Transatlántica / institucional</x:v>
      </x:c>
      <x:c r="G72" s="311" t="n">
        <x:v>4</x:v>
      </x:c>
      <x:c r="H72" s="309" t="str">
        <x:v>Media-alta</x:v>
      </x:c>
      <x:c r="I72" s="308" t="str">
        <x:v>Política de EE. UU. y Unión Europea</x:v>
      </x:c>
      <x:c r="J72" s="308" t="str">
        <x:v>Moderada</x:v>
      </x:c>
      <x:c r="K72" s="308" t="str">
        <x:v>Activo</x:v>
      </x:c>
      <x:c r="L72" s="309" t="n">
        <x:v>7</x:v>
      </x:c>
    </x:row>
    <x:row r="73">
      <x:c r="A73" s="312" t="str">
        <x:v>El País</x:v>
      </x:c>
      <x:c r="B73" s="313" t="str">
        <x:v>https://elpais.com/</x:v>
      </x:c>
      <x:c r="C73" s="404" t="str">
        <x:v>Occidente/América Latina</x:v>
      </x:c>
      <x:c r="D73" s="308" t="str">
        <x:v>Medio generalista</x:v>
      </x:c>
      <x:c r="E73" s="308" t="str">
        <x:v>Noticias, análisis y opinión</x:v>
      </x:c>
      <x:c r="F73" s="308" t="str">
        <x:v>Europeísta / iberoamericana</x:v>
      </x:c>
      <x:c r="G73" s="311" t="n">
        <x:v>4</x:v>
      </x:c>
      <x:c r="H73" s="309" t="str">
        <x:v>Media-alta</x:v>
      </x:c>
      <x:c r="I73" s="308" t="str">
        <x:v>Cobertura europea y latinoamericana</x:v>
      </x:c>
      <x:c r="J73" s="308" t="str">
        <x:v>Moderada</x:v>
      </x:c>
      <x:c r="K73" s="308" t="str">
        <x:v>Activo</x:v>
      </x:c>
      <x:c r="L73" s="309" t="n">
        <x:v>3</x:v>
      </x:c>
    </x:row>
    <x:row r="74">
      <x:c r="A74" s="312" t="str">
        <x:v>Novaya Gazeta Europe</x:v>
      </x:c>
      <x:c r="B74" s="313" t="str">
        <x:v>https://novayagazeta.eu/</x:v>
      </x:c>
      <x:c r="C74" s="404" t="str">
        <x:v>Rusia/Europa Oriental</x:v>
      </x:c>
      <x:c r="D74" s="308" t="str">
        <x:v>Medio independiente en exilio</x:v>
      </x:c>
      <x:c r="E74" s="308" t="str">
        <x:v>Investigación y noticias</x:v>
      </x:c>
      <x:c r="F74" s="308" t="str">
        <x:v>Rusa independiente</x:v>
      </x:c>
      <x:c r="G74" s="311" t="n">
        <x:v>4</x:v>
      </x:c>
      <x:c r="H74" s="309" t="str">
        <x:v>Media-alta</x:v>
      </x:c>
      <x:c r="I74" s="308" t="str">
        <x:v>Investigación sobre Rusia y derechos humanos</x:v>
      </x:c>
      <x:c r="J74" s="308" t="str">
        <x:v>Moderada-alta</x:v>
      </x:c>
      <x:c r="K74" s="308" t="str">
        <x:v>Nuevo recomendado</x:v>
      </x:c>
      <x:c r="L74" s="309" t="n">
        <x:v>71</x:v>
      </x:c>
    </x:row>
    <x:row r="75">
      <x:c r="A75" s="312" t="str">
        <x:v>Meduza</x:v>
      </x:c>
      <x:c r="B75" s="313" t="str">
        <x:v>https://meduza.io/en</x:v>
      </x:c>
      <x:c r="C75" s="404" t="str">
        <x:v>Rusia/Europa Oriental</x:v>
      </x:c>
      <x:c r="D75" s="308" t="str">
        <x:v>Medio independiente en exilio</x:v>
      </x:c>
      <x:c r="E75" s="308" t="str">
        <x:v>Noticias e investigación</x:v>
      </x:c>
      <x:c r="F75" s="308" t="str">
        <x:v>Rusa independiente</x:v>
      </x:c>
      <x:c r="G75" s="311" t="n">
        <x:v>4</x:v>
      </x:c>
      <x:c r="H75" s="309" t="str">
        <x:v>Media-alta</x:v>
      </x:c>
      <x:c r="I75" s="308" t="str">
        <x:v>Rusia, sociedad y política interna</x:v>
      </x:c>
      <x:c r="J75" s="308" t="str">
        <x:v>Moderada-alta</x:v>
      </x:c>
      <x:c r="K75" s="308" t="str">
        <x:v>Nuevo recomendado</x:v>
      </x:c>
      <x:c r="L75" s="309" t="n">
        <x:v>70</x:v>
      </x:c>
    </x:row>
    <x:row r="76">
      <x:c r="A76" s="312" t="str">
        <x:v>TASS</x:v>
      </x:c>
      <x:c r="B76" s="313" t="str">
        <x:v>https://tass.com/</x:v>
      </x:c>
      <x:c r="C76" s="404" t="str">
        <x:v>Rusia/Global</x:v>
      </x:c>
      <x:c r="D76" s="308" t="str">
        <x:v>Agencia estatal</x:v>
      </x:c>
      <x:c r="E76" s="308" t="str">
        <x:v>Noticias y narrativa oficial</x:v>
      </x:c>
      <x:c r="F76" s="308" t="str">
        <x:v>Rusia estatal</x:v>
      </x:c>
      <x:c r="G76" s="311" t="n">
        <x:v>2</x:v>
      </x:c>
      <x:c r="H76" s="309" t="str">
        <x:v>Baja</x:v>
      </x:c>
      <x:c r="I76" s="308" t="str">
        <x:v>Conocer declaraciones y narrativa oficial rusa</x:v>
      </x:c>
      <x:c r="J76" s="308" t="str">
        <x:v>Obligatoria</x:v>
      </x:c>
      <x:c r="K76" s="308" t="str">
        <x:v>Uso condicionado</x:v>
      </x:c>
      <x:c r="L76" s="309" t="n">
        <x:v>45</x:v>
      </x:c>
    </x:row>
    <x:row r="77">
      <x:c r="A77" s="312" t="str">
        <x:v>Africa Confidential</x:v>
      </x:c>
      <x:c r="B77" s="313" t="str">
        <x:v>https://www.africa-confidential.com/</x:v>
      </x:c>
      <x:c r="C77" s="404" t="str">
        <x:v>África - Pancontinental</x:v>
      </x:c>
      <x:c r="D77" s="308" t="str">
        <x:v>Boletín especializado</x:v>
      </x:c>
      <x:c r="E77" s="308" t="str">
        <x:v>Análisis político, económico y de seguridad; información de fuentes internas</x:v>
      </x:c>
      <x:c r="F77" s="308" t="str">
        <x:v>Pan-africana desde una publicación especializada británica</x:v>
      </x:c>
      <x:c r="G77" s="311" t="n">
        <x:v>3.8</x:v>
      </x:c>
      <x:c r="H77" s="309" t="str">
        <x:v>Media-alta</x:v>
      </x:c>
      <x:c r="I77" s="308" t="str">
        <x:v>Análisis de élites, redes de poder y señales tempranas</x:v>
      </x:c>
      <x:c r="J77" s="308" t="str">
        <x:v>Alta para afirmaciones basadas en fuentes anónimas</x:v>
      </x:c>
      <x:c r="K77" s="308" t="str">
        <x:v>Nuevo recomendado</x:v>
      </x:c>
      <x:c r="L77" s="309" t="n">
        <x:v>76</x:v>
      </x:c>
    </x:row>
    <x:row r="78">
      <x:c r="A78" s="312" t="str">
        <x:v>African Arguments</x:v>
      </x:c>
      <x:c r="B78" s="313" t="str">
        <x:v>https://africanarguments.org/</x:v>
      </x:c>
      <x:c r="C78" s="404" t="str">
        <x:v>África - Pancontinental</x:v>
      </x:c>
      <x:c r="D78" s="308" t="str">
        <x:v>Plataforma de análisis</x:v>
      </x:c>
      <x:c r="E78" s="308" t="str">
        <x:v>Análisis, reportajes, investigaciones y debate</x:v>
      </x:c>
      <x:c r="F78" s="308" t="str">
        <x:v>Pan-africana / académica y periodística</x:v>
      </x:c>
      <x:c r="G78" s="311" t="n">
        <x:v>4.2</x:v>
      </x:c>
      <x:c r="H78" s="309" t="str">
        <x:v>Media-alta</x:v>
      </x:c>
      <x:c r="I78" s="308" t="str">
        <x:v>Análisis profundo, debates y perspectivas africanas</x:v>
      </x:c>
      <x:c r="J78" s="308" t="str">
        <x:v>Moderada</x:v>
      </x:c>
      <x:c r="K78" s="308" t="str">
        <x:v>Nuevo recomendado</x:v>
      </x:c>
      <x:c r="L78" s="309" t="n">
        <x:v>75</x:v>
      </x:c>
    </x:row>
    <x:row r="79">
      <x:c r="A79" s="312" t="str">
        <x:v>Afrobarometer</x:v>
      </x:c>
      <x:c r="B79" s="313" t="str">
        <x:v>https://www.afrobarometer.org/</x:v>
      </x:c>
      <x:c r="C79" s="404" t="str">
        <x:v>África - Pancontinental</x:v>
      </x:c>
      <x:c r="D79" s="308" t="str">
        <x:v>Red de investigación</x:v>
      </x:c>
      <x:c r="E79" s="308" t="str">
        <x:v>Encuestas de opinión pública y datos comparativos</x:v>
      </x:c>
      <x:c r="F79" s="308" t="str">
        <x:v>Voz ciudadana pan-africana</x:v>
      </x:c>
      <x:c r="G79" s="311" t="n">
        <x:v>4.8</x:v>
      </x:c>
      <x:c r="H79" s="309" t="str">
        <x:v>Alta</x:v>
      </x:c>
      <x:c r="I79" s="308" t="str">
        <x:v>Opinión pública, democracia, gobernanza, economía y sociedad</x:v>
      </x:c>
      <x:c r="J79" s="308" t="str">
        <x:v>Baja a moderada</x:v>
      </x:c>
      <x:c r="K79" s="308" t="str">
        <x:v>Nuevo recomendado</x:v>
      </x:c>
      <x:c r="L79" s="309" t="n">
        <x:v>78</x:v>
      </x:c>
    </x:row>
    <x:row r="80">
      <x:c r="A80" s="312" t="str">
        <x:v>ISS Africa</x:v>
      </x:c>
      <x:c r="B80" s="313" t="str">
        <x:v>https://issafrica.org/</x:v>
      </x:c>
      <x:c r="C80" s="404" t="str">
        <x:v>África - Pancontinental</x:v>
      </x:c>
      <x:c r="D80" s="308" t="str">
        <x:v>Think tank</x:v>
      </x:c>
      <x:c r="E80" s="308" t="str">
        <x:v>Seguridad, gobernanza, crimen, paz y análisis de políticas</x:v>
      </x:c>
      <x:c r="F80" s="308" t="str">
        <x:v>Pan-africana / políticas públicas</x:v>
      </x:c>
      <x:c r="G80" s="311" t="n">
        <x:v>4.8</x:v>
      </x:c>
      <x:c r="H80" s="309" t="str">
        <x:v>Alta</x:v>
      </x:c>
      <x:c r="I80" s="308" t="str">
        <x:v>Seguridad, gobernanza, crimen organizado y Unión Africana</x:v>
      </x:c>
      <x:c r="J80" s="308" t="str">
        <x:v>Moderada</x:v>
      </x:c>
      <x:c r="K80" s="308" t="str">
        <x:v>Nuevo recomendado</x:v>
      </x:c>
      <x:c r="L80" s="309" t="n">
        <x:v>77</x:v>
      </x:c>
    </x:row>
    <x:row r="81">
      <x:c r="A81" s="312" t="str">
        <x:v>African Union (AU)</x:v>
      </x:c>
      <x:c r="B81" s="313" t="str">
        <x:v>https://au.int/</x:v>
      </x:c>
      <x:c r="C81" s="404" t="str">
        <x:v>África - Pancontinental</x:v>
      </x:c>
      <x:c r="D81" s="308" t="str">
        <x:v>Organismo internacional</x:v>
      </x:c>
      <x:c r="E81" s="308" t="str">
        <x:v>Tratados, comunicados, decisiones, datos y posiciones oficiales</x:v>
      </x:c>
      <x:c r="F81" s="308" t="str">
        <x:v>Continental / integración africana</x:v>
      </x:c>
      <x:c r="G81" s="311" t="n">
        <x:v>4</x:v>
      </x:c>
      <x:c r="H81" s="309" t="str">
        <x:v>Media-alta</x:v>
      </x:c>
      <x:c r="I81" s="308" t="str">
        <x:v>Fuente primaria para decisiones, tratados y posiciones de la Unión Africana</x:v>
      </x:c>
      <x:c r="J81" s="308" t="str">
        <x:v>Moderada; obligatoria para controversias políticas</x:v>
      </x:c>
      <x:c r="K81" s="308" t="str">
        <x:v>Nuevo recomendado</x:v>
      </x:c>
      <x:c r="L81" s="309" t="n">
        <x:v>79</x:v>
      </x:c>
    </x:row>
    <x:row r="82">
      <x:c r="A82" s="312" t="str">
        <x:v>amaBhungane</x:v>
      </x:c>
      <x:c r="B82" s="313" t="str">
        <x:v>https://amabhungane.org/</x:v>
      </x:c>
      <x:c r="C82" s="404" t="str">
        <x:v>África Austral</x:v>
      </x:c>
      <x:c r="D82" s="308" t="str">
        <x:v>Centro de investigación periodística</x:v>
      </x:c>
      <x:c r="E82" s="308" t="str">
        <x:v>Investigaciones de corrupción, dinero y abuso de poder</x:v>
      </x:c>
      <x:c r="F82" s="308" t="str">
        <x:v>Sudafricana / África Austral</x:v>
      </x:c>
      <x:c r="G82" s="311" t="n">
        <x:v>5</x:v>
      </x:c>
      <x:c r="H82" s="309" t="str">
        <x:v>Alta</x:v>
      </x:c>
      <x:c r="I82" s="308" t="str">
        <x:v>Investigaciones complejas, corrupción y captura del Estado</x:v>
      </x:c>
      <x:c r="J82" s="308" t="str">
        <x:v>Baja a moderada</x:v>
      </x:c>
      <x:c r="K82" s="308" t="str">
        <x:v>Nuevo recomendado</x:v>
      </x:c>
      <x:c r="L82" s="309" t="n">
        <x:v>90</x:v>
      </x:c>
    </x:row>
    <x:row r="83">
      <x:c r="A83" s="312" t="str">
        <x:v>The Namibian</x:v>
      </x:c>
      <x:c r="B83" s="313" t="str">
        <x:v>https://www.namibian.com.na/</x:v>
      </x:c>
      <x:c r="C83" s="404" t="str">
        <x:v>África Austral</x:v>
      </x:c>
      <x:c r="D83" s="308" t="str">
        <x:v>Medio generalista</x:v>
      </x:c>
      <x:c r="E83" s="308" t="str">
        <x:v>Noticias nacionales, investigación y economía</x:v>
      </x:c>
      <x:c r="F83" s="308" t="str">
        <x:v>Namibia / África Austral</x:v>
      </x:c>
      <x:c r="G83" s="311" t="n">
        <x:v>4</x:v>
      </x:c>
      <x:c r="H83" s="309" t="str">
        <x:v>Media-alta</x:v>
      </x:c>
      <x:c r="I83" s="308" t="str">
        <x:v>Namibia, recursos naturales, economía y política regional</x:v>
      </x:c>
      <x:c r="J83" s="308" t="str">
        <x:v>Moderada</x:v>
      </x:c>
      <x:c r="K83" s="308" t="str">
        <x:v>Nuevo recomendado</x:v>
      </x:c>
      <x:c r="L83" s="309" t="n">
        <x:v>92</x:v>
      </x:c>
    </x:row>
    <x:row r="84">
      <x:c r="A84" s="312" t="str">
        <x:v>Daily Maverick</x:v>
      </x:c>
      <x:c r="B84" s="313" t="str">
        <x:v>https://www.dailymaverick.co.za/</x:v>
      </x:c>
      <x:c r="C84" s="404" t="str">
        <x:v>África Austral</x:v>
      </x:c>
      <x:c r="D84" s="308" t="str">
        <x:v>Medio independiente</x:v>
      </x:c>
      <x:c r="E84" s="308" t="str">
        <x:v>Noticias, investigación y opinión</x:v>
      </x:c>
      <x:c r="F84" s="308" t="str">
        <x:v>Sudafricana / africana</x:v>
      </x:c>
      <x:c r="G84" s="311" t="n">
        <x:v>4</x:v>
      </x:c>
      <x:c r="H84" s="309" t="str">
        <x:v>Media-alta</x:v>
      </x:c>
      <x:c r="I84" s="308" t="str">
        <x:v>Sudáfrica y África subsahariana</x:v>
      </x:c>
      <x:c r="J84" s="308" t="str">
        <x:v>Moderada</x:v>
      </x:c>
      <x:c r="K84" s="308" t="str">
        <x:v>Nuevo recomendado</x:v>
      </x:c>
      <x:c r="L84" s="309" t="n">
        <x:v>69</x:v>
      </x:c>
    </x:row>
    <x:row r="85">
      <x:c r="A85" s="312" t="str">
        <x:v>Mail &amp; Guardian</x:v>
      </x:c>
      <x:c r="B85" s="313" t="str">
        <x:v>https://mg.co.za/</x:v>
      </x:c>
      <x:c r="C85" s="404" t="str">
        <x:v>África Austral</x:v>
      </x:c>
      <x:c r="D85" s="308" t="str">
        <x:v>Medio generalista / semanal</x:v>
      </x:c>
      <x:c r="E85" s="308" t="str">
        <x:v>Noticias, investigación, análisis y opinión</x:v>
      </x:c>
      <x:c r="F85" s="308" t="str">
        <x:v>Sudafricana / regional</x:v>
      </x:c>
      <x:c r="G85" s="311" t="n">
        <x:v>4</x:v>
      </x:c>
      <x:c r="H85" s="309" t="str">
        <x:v>Media-alta</x:v>
      </x:c>
      <x:c r="I85" s="308" t="str">
        <x:v>Sudáfrica, política regional, medioambiente y cultura</x:v>
      </x:c>
      <x:c r="J85" s="308" t="str">
        <x:v>Moderada</x:v>
      </x:c>
      <x:c r="K85" s="308" t="str">
        <x:v>Nuevo recomendado</x:v>
      </x:c>
      <x:c r="L85" s="309" t="n">
        <x:v>91</x:v>
      </x:c>
    </x:row>
    <x:row r="86">
      <x:c r="A86" s="312" t="str">
        <x:v>Radio Okapi</x:v>
      </x:c>
      <x:c r="B86" s="313" t="str">
        <x:v>https://www.radiookapi.net/</x:v>
      </x:c>
      <x:c r="C86" s="404" t="str">
        <x:v>África Central</x:v>
      </x:c>
      <x:c r="D86" s="308" t="str">
        <x:v>Radiodifusor de Naciones Unidas</x:v>
      </x:c>
      <x:c r="E86" s="308" t="str">
        <x:v>Noticias, servicio público y diálogo nacional</x:v>
      </x:c>
      <x:c r="F86" s="308" t="str">
        <x:v>Congoleña / ONU</x:v>
      </x:c>
      <x:c r="G86" s="311" t="n">
        <x:v>4.2</x:v>
      </x:c>
      <x:c r="H86" s="309" t="str">
        <x:v>Media-alta</x:v>
      </x:c>
      <x:c r="I86" s="308" t="str">
        <x:v>RDC, información territorial y comunicaciones de servicio público</x:v>
      </x:c>
      <x:c r="J86" s="308" t="str">
        <x:v>Moderada</x:v>
      </x:c>
      <x:c r="K86" s="308" t="str">
        <x:v>Nuevo recomendado</x:v>
      </x:c>
      <x:c r="L86" s="309" t="n">
        <x:v>89</x:v>
      </x:c>
    </x:row>
    <x:row r="87">
      <x:c r="A87" s="312" t="str">
        <x:v>ACTUALITE.CD</x:v>
      </x:c>
      <x:c r="B87" s="313" t="str">
        <x:v>https://actualite.cd/</x:v>
      </x:c>
      <x:c r="C87" s="404" t="str">
        <x:v>África Central</x:v>
      </x:c>
      <x:c r="D87" s="308" t="str">
        <x:v>Medio digital generalista</x:v>
      </x:c>
      <x:c r="E87" s="308" t="str">
        <x:v>Política, seguridad, economía y sociedad</x:v>
      </x:c>
      <x:c r="F87" s="308" t="str">
        <x:v>Congoleña</x:v>
      </x:c>
      <x:c r="G87" s="311" t="n">
        <x:v>3.5</x:v>
      </x:c>
      <x:c r="H87" s="309" t="str">
        <x:v>Media-alta</x:v>
      </x:c>
      <x:c r="I87" s="308" t="str">
        <x:v>RDC, conflicto oriental, política y economía</x:v>
      </x:c>
      <x:c r="J87" s="308" t="str">
        <x:v>Alta en conflictos y primicias</x:v>
      </x:c>
      <x:c r="K87" s="308" t="str">
        <x:v>Nuevo recomendado</x:v>
      </x:c>
      <x:c r="L87" s="309" t="n">
        <x:v>88</x:v>
      </x:c>
    </x:row>
    <x:row r="88">
      <x:c r="A88" s="312" t="str">
        <x:v>Inkyfada</x:v>
      </x:c>
      <x:c r="B88" s="313" t="str">
        <x:v>https://inkyfada.com/en/</x:v>
      </x:c>
      <x:c r="C88" s="404" t="str">
        <x:v>África del Norte</x:v>
      </x:c>
      <x:c r="D88" s="308" t="str">
        <x:v>Medio independiente / investigación</x:v>
      </x:c>
      <x:c r="E88" s="308" t="str">
        <x:v>Investigación, datos, narrativas multimedia y explicadores</x:v>
      </x:c>
      <x:c r="F88" s="308" t="str">
        <x:v>Tunecina / magrebí</x:v>
      </x:c>
      <x:c r="G88" s="311" t="n">
        <x:v>4.7</x:v>
      </x:c>
      <x:c r="H88" s="309" t="str">
        <x:v>Alta</x:v>
      </x:c>
      <x:c r="I88" s="308" t="str">
        <x:v>Túnez, migración, corrupción, justicia y Magreb</x:v>
      </x:c>
      <x:c r="J88" s="308" t="str">
        <x:v>Moderada</x:v>
      </x:c>
      <x:c r="K88" s="308" t="str">
        <x:v>Nuevo recomendado</x:v>
      </x:c>
      <x:c r="L88" s="309" t="n">
        <x:v>80</x:v>
      </x:c>
    </x:row>
    <x:row r="89">
      <x:c r="A89" s="312" t="str">
        <x:v>Le Desk</x:v>
      </x:c>
      <x:c r="B89" s="313" t="str">
        <x:v>https://ledesk.ma/</x:v>
      </x:c>
      <x:c r="C89" s="404" t="str">
        <x:v>África del Norte</x:v>
      </x:c>
      <x:c r="D89" s="308" t="str">
        <x:v>Medio digital de investigación</x:v>
      </x:c>
      <x:c r="E89" s="308" t="str">
        <x:v>Noticias, investigación y análisis</x:v>
      </x:c>
      <x:c r="F89" s="308" t="str">
        <x:v>Marroquí / magrebí</x:v>
      </x:c>
      <x:c r="G89" s="311" t="n">
        <x:v>4</x:v>
      </x:c>
      <x:c r="H89" s="309" t="str">
        <x:v>Media-alta</x:v>
      </x:c>
      <x:c r="I89" s="308" t="str">
        <x:v>Marruecos, Magreb, diplomacia y redes económicas</x:v>
      </x:c>
      <x:c r="J89" s="308" t="str">
        <x:v>Moderada-alta</x:v>
      </x:c>
      <x:c r="K89" s="308" t="str">
        <x:v>Nuevo recomendado</x:v>
      </x:c>
      <x:c r="L89" s="309" t="n">
        <x:v>81</x:v>
      </x:c>
    </x:row>
    <x:row r="90">
      <x:c r="A90" s="312" t="str">
        <x:v>Mada Masr</x:v>
      </x:c>
      <x:c r="B90" s="313" t="str">
        <x:v>https://www.madamasr.com/en/</x:v>
      </x:c>
      <x:c r="C90" s="404" t="str">
        <x:v>África del Norte / Medio Oriente</x:v>
      </x:c>
      <x:c r="D90" s="308" t="str">
        <x:v>Medio independiente</x:v>
      </x:c>
      <x:c r="E90" s="308" t="str">
        <x:v>Investigación y reportajes</x:v>
      </x:c>
      <x:c r="F90" s="308" t="str">
        <x:v>Egipcia / regional</x:v>
      </x:c>
      <x:c r="G90" s="311" t="n">
        <x:v>3.8</x:v>
      </x:c>
      <x:c r="H90" s="309" t="str">
        <x:v>Media-alta</x:v>
      </x:c>
      <x:c r="I90" s="308" t="str">
        <x:v>Egipto, derechos y política regional</x:v>
      </x:c>
      <x:c r="J90" s="308" t="str">
        <x:v>Moderada</x:v>
      </x:c>
      <x:c r="K90" s="308" t="str">
        <x:v>Activo</x:v>
      </x:c>
      <x:c r="L90" s="309" t="n">
        <x:v>31</x:v>
      </x:c>
    </x:row>
    <x:row r="91">
      <x:c r="A91" s="312" t="str">
        <x:v>Premium Times</x:v>
      </x:c>
      <x:c r="B91" s="313" t="str">
        <x:v>https://www.premiumtimesng.com/</x:v>
      </x:c>
      <x:c r="C91" s="404" t="str">
        <x:v>África Occidental</x:v>
      </x:c>
      <x:c r="D91" s="308" t="str">
        <x:v>Medio independiente / generalista</x:v>
      </x:c>
      <x:c r="E91" s="308" t="str">
        <x:v>Noticias, investigación, datos y rendición de cuentas</x:v>
      </x:c>
      <x:c r="F91" s="308" t="str">
        <x:v>Nigeriana / África Occidental</x:v>
      </x:c>
      <x:c r="G91" s="311" t="n">
        <x:v>4</x:v>
      </x:c>
      <x:c r="H91" s="309" t="str">
        <x:v>Media-alta</x:v>
      </x:c>
      <x:c r="I91" s="308" t="str">
        <x:v>Nigeria, democracia, corrupción, seguridad y economía</x:v>
      </x:c>
      <x:c r="J91" s="308" t="str">
        <x:v>Moderada</x:v>
      </x:c>
      <x:c r="K91" s="308" t="str">
        <x:v>Nuevo recomendado</x:v>
      </x:c>
      <x:c r="L91" s="309" t="n">
        <x:v>82</x:v>
      </x:c>
    </x:row>
    <x:row r="92">
      <x:c r="A92" s="312" t="str">
        <x:v>HumAngle</x:v>
      </x:c>
      <x:c r="B92" s="313" t="str">
        <x:v>https://humanglemedia.com/</x:v>
      </x:c>
      <x:c r="C92" s="404" t="str">
        <x:v>África Occidental / Sahel</x:v>
      </x:c>
      <x:c r="D92" s="308" t="str">
        <x:v>Medio especializado</x:v>
      </x:c>
      <x:c r="E92" s="308" t="str">
        <x:v>Conflictos, crisis humanitarias, derechos humanos y desarrollo</x:v>
      </x:c>
      <x:c r="F92" s="308" t="str">
        <x:v>África Occidental / Sahel</x:v>
      </x:c>
      <x:c r="G92" s="311" t="n">
        <x:v>3.8</x:v>
      </x:c>
      <x:c r="H92" s="309" t="str">
        <x:v>Media-alta</x:v>
      </x:c>
      <x:c r="I92" s="308" t="str">
        <x:v>Insurgencias, desplazamiento, violencia y comunidades subcubiertas</x:v>
      </x:c>
      <x:c r="J92" s="308" t="str">
        <x:v>Alta</x:v>
      </x:c>
      <x:c r="K92" s="308" t="str">
        <x:v>Nuevo recomendado</x:v>
      </x:c>
      <x:c r="L92" s="309" t="n">
        <x:v>83</x:v>
      </x:c>
    </x:row>
    <x:row r="93">
      <x:c r="A93" s="312" t="str">
        <x:v>The EastAfrican</x:v>
      </x:c>
      <x:c r="B93" s="313" t="str">
        <x:v>https://www.theeastafrican.co.ke/</x:v>
      </x:c>
      <x:c r="C93" s="404" t="str">
        <x:v>África Oriental</x:v>
      </x:c>
      <x:c r="D93" s="308" t="str">
        <x:v>Medio regional</x:v>
      </x:c>
      <x:c r="E93" s="308" t="str">
        <x:v>Política, economía, diplomacia y Comunidad de África Oriental</x:v>
      </x:c>
      <x:c r="F93" s="308" t="str">
        <x:v>África Oriental / integración EAC</x:v>
      </x:c>
      <x:c r="G93" s="311" t="n">
        <x:v>4</x:v>
      </x:c>
      <x:c r="H93" s="309" t="str">
        <x:v>Media-alta</x:v>
      </x:c>
      <x:c r="I93" s="308" t="str">
        <x:v>Política y geoeconomía de África Oriental</x:v>
      </x:c>
      <x:c r="J93" s="308" t="str">
        <x:v>Moderada</x:v>
      </x:c>
      <x:c r="K93" s="308" t="str">
        <x:v>Nuevo recomendado</x:v>
      </x:c>
      <x:c r="L93" s="309" t="n">
        <x:v>84</x:v>
      </x:c>
    </x:row>
    <x:row r="94">
      <x:c r="A94" s="312" t="str">
        <x:v>Addis Standard</x:v>
      </x:c>
      <x:c r="B94" s="313" t="str">
        <x:v>https://addisstandard.com/</x:v>
      </x:c>
      <x:c r="C94" s="404" t="str">
        <x:v>África Oriental / Cuerno de África</x:v>
      </x:c>
      <x:c r="D94" s="308" t="str">
        <x:v>Medio independiente</x:v>
      </x:c>
      <x:c r="E94" s="308" t="str">
        <x:v>Noticias y contenido de interés público</x:v>
      </x:c>
      <x:c r="F94" s="308" t="str">
        <x:v>Etíope / Cuerno de África</x:v>
      </x:c>
      <x:c r="G94" s="311" t="n">
        <x:v>3.8</x:v>
      </x:c>
      <x:c r="H94" s="309" t="str">
        <x:v>Media-alta</x:v>
      </x:c>
      <x:c r="I94" s="308" t="str">
        <x:v>Etiopía, Unión Africana y Cuerno de África</x:v>
      </x:c>
      <x:c r="J94" s="308" t="str">
        <x:v>Alta en conflictos y política interna</x:v>
      </x:c>
      <x:c r="K94" s="308" t="str">
        <x:v>Nuevo recomendado</x:v>
      </x:c>
      <x:c r="L94" s="309" t="n">
        <x:v>86</x:v>
      </x:c>
    </x:row>
    <x:row r="95">
      <x:c r="A95" s="312" t="str">
        <x:v>The Elephant</x:v>
      </x:c>
      <x:c r="B95" s="313" t="str">
        <x:v>https://www.theelephant.info/</x:v>
      </x:c>
      <x:c r="C95" s="404" t="str">
        <x:v>África Oriental / Pancontinental</x:v>
      </x:c>
      <x:c r="D95" s="308" t="str">
        <x:v>Plataforma de análisis</x:v>
      </x:c>
      <x:c r="E95" s="308" t="str">
        <x:v>Ensayo, opinión, investigación y debate</x:v>
      </x:c>
      <x:c r="F95" s="308" t="str">
        <x:v>Kenia / pan-africana</x:v>
      </x:c>
      <x:c r="G95" s="311" t="n">
        <x:v>3.5</x:v>
      </x:c>
      <x:c r="H95" s="309" t="str">
        <x:v>Media-alta</x:v>
      </x:c>
      <x:c r="I95" s="308" t="str">
        <x:v>Interpretación política, sociedad civil y debate intelectual</x:v>
      </x:c>
      <x:c r="J95" s="308" t="str">
        <x:v>Alta</x:v>
      </x:c>
      <x:c r="K95" s="308" t="str">
        <x:v>Nuevo recomendado</x:v>
      </x:c>
      <x:c r="L95" s="309" t="n">
        <x:v>85</x:v>
      </x:c>
    </x:row>
    <x:row r="96">
      <x:c r="A96" s="73" t="str">
        <x:v>Africa Uncensored</x:v>
      </x:c>
      <x:c r="B96" s="77" t="str">
        <x:v>https://africauncensored.online/</x:v>
      </x:c>
      <x:c r="C96" s="405" t="str">
        <x:v>África Oriental / Pancontinental</x:v>
      </x:c>
      <x:c r="D96" s="53" t="str">
        <x:v>Medio de investigación</x:v>
      </x:c>
      <x:c r="E96" s="53" t="str">
        <x:v>Investigación audiovisual y periodismo de interés público</x:v>
      </x:c>
      <x:c r="F96" s="53" t="str">
        <x:v>Kenia / pan-africana</x:v>
      </x:c>
      <x:c r="G96" s="69" t="n">
        <x:v>4.3</x:v>
      </x:c>
      <x:c r="H96" s="61" t="str">
        <x:v>Alta</x:v>
      </x:c>
      <x:c r="I96" s="53" t="str">
        <x:v>Investigaciones, corrupción y asuntos subcubiertos</x:v>
      </x:c>
      <x:c r="J96" s="53" t="str">
        <x:v>Moderada</x:v>
      </x:c>
      <x:c r="K96" s="53" t="str">
        <x:v>Nuevo recomendado</x:v>
      </x:c>
      <x:c r="L96" s="61" t="n">
        <x:v>87</x:v>
      </x:c>
    </x:row>
    <x:row r="97">
      <x:c r="A97" t="str">
        <x:v>Geopolitical Futures</x:v>
      </x:c>
      <x:c r="B97" t="str">
        <x:v>https://geopoliticalfutures.com/</x:v>
      </x:c>
      <x:c r="C97" t="str">
        <x:v>Global/Occidente</x:v>
      </x:c>
      <x:c r="D97" t="str">
        <x:v>Publicación especializada de análisis geopolítico</x:v>
      </x:c>
      <x:c r="E97" t="str">
        <x:v>Análisis estratégico, prospectiva y evaluación de riesgos geopolíticos</x:v>
      </x:c>
      <x:c r="F97" t="str">
        <x:v>Estadounidense / realista geoestratégica</x:v>
      </x:c>
      <x:c r="G97" t="n">
        <x:v>3.7</x:v>
      </x:c>
      <x:c r="H97" t="str">
        <x:v>Media-alta</x:v>
      </x:c>
      <x:c r="I97" t="str">
        <x:v>Escenarios, análisis estructural y seguimiento de riesgos geopolíticos</x:v>
      </x:c>
      <x:c r="J97" t="str">
        <x:v>Moderada-alta</x:v>
      </x:c>
      <x:c r="K97" t="str">
        <x:v>Nuevo recomendado</x:v>
      </x:c>
      <x:c r="L97" t="n">
        <x:v>93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2c977073c5d846ba"/>
  </x:tableParts>
</x:worksheet>
</file>